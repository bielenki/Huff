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Barragem_UFSCar\"/>
    </mc:Choice>
  </mc:AlternateContent>
  <xr:revisionPtr revIDLastSave="0" documentId="13_ncr:1_{B5903108-D681-4D4B-8354-17C63D2D9467}" xr6:coauthVersionLast="47" xr6:coauthVersionMax="47" xr10:uidLastSave="{00000000-0000-0000-0000-000000000000}"/>
  <bookViews>
    <workbookView xWindow="-120" yWindow="-120" windowWidth="29040" windowHeight="15840" xr2:uid="{07C45F0D-A988-47D3-B497-216DE0A0DB8E}"/>
  </bookViews>
  <sheets>
    <sheet name="Gerar Hietograma" sheetId="5" r:id="rId1"/>
    <sheet name="Ponto" sheetId="2" r:id="rId2"/>
    <sheet name="A10a50" sheetId="4" r:id="rId3"/>
    <sheet name="A50a400" sheetId="3" r:id="rId4"/>
    <sheet name="Experimento" sheetId="6" state="hidden" r:id="rId5"/>
    <sheet name="Interpolação" sheetId="1" state="hidden" r:id="rId6"/>
  </sheets>
  <definedNames>
    <definedName name="x_conhecido">Interpolação!$G$4:$G$24</definedName>
    <definedName name="y_conhecido">Interpolação!$H$4:$H$24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5" i="6" l="1"/>
  <c r="T14" i="6"/>
  <c r="T13" i="6"/>
  <c r="G25" i="6"/>
  <c r="G26" i="6"/>
  <c r="G27" i="6"/>
  <c r="G28" i="6"/>
  <c r="G29" i="6"/>
  <c r="G30" i="6"/>
  <c r="G24" i="6"/>
  <c r="D24" i="6"/>
  <c r="D25" i="6"/>
  <c r="D26" i="6"/>
  <c r="D27" i="6"/>
  <c r="D28" i="6"/>
  <c r="D29" i="6"/>
  <c r="D30" i="6"/>
  <c r="D23" i="6"/>
  <c r="E31" i="6"/>
  <c r="F24" i="6"/>
  <c r="F25" i="6" s="1"/>
  <c r="F26" i="6" s="1"/>
  <c r="F27" i="6" s="1"/>
  <c r="F28" i="6" s="1"/>
  <c r="F29" i="6" s="1"/>
  <c r="F30" i="6" s="1"/>
  <c r="G7" i="6"/>
  <c r="E16" i="6"/>
  <c r="F7" i="6"/>
  <c r="F8" i="6" s="1"/>
  <c r="D7" i="6"/>
  <c r="D8" i="6"/>
  <c r="D9" i="6"/>
  <c r="D10" i="6"/>
  <c r="D11" i="6"/>
  <c r="D12" i="6"/>
  <c r="D13" i="6"/>
  <c r="D14" i="6"/>
  <c r="D15" i="6"/>
  <c r="D6" i="6"/>
  <c r="G8" i="5"/>
  <c r="C10" i="5"/>
  <c r="H47" i="1"/>
  <c r="I47" i="1"/>
  <c r="B53" i="5" s="1"/>
  <c r="H48" i="1"/>
  <c r="I48" i="1"/>
  <c r="B54" i="5" s="1"/>
  <c r="H49" i="1"/>
  <c r="I49" i="1"/>
  <c r="B55" i="5" s="1"/>
  <c r="H50" i="1"/>
  <c r="I50" i="1"/>
  <c r="B56" i="5" s="1"/>
  <c r="H51" i="1"/>
  <c r="I51" i="1"/>
  <c r="B57" i="5" s="1"/>
  <c r="H52" i="1"/>
  <c r="I52" i="1"/>
  <c r="B58" i="5" s="1"/>
  <c r="H53" i="1"/>
  <c r="I53" i="1"/>
  <c r="B59" i="5" s="1"/>
  <c r="H54" i="1"/>
  <c r="I54" i="1"/>
  <c r="B60" i="5" s="1"/>
  <c r="H55" i="1"/>
  <c r="I55" i="1"/>
  <c r="B61" i="5" s="1"/>
  <c r="H56" i="1"/>
  <c r="I56" i="1"/>
  <c r="B62" i="5" s="1"/>
  <c r="H57" i="1"/>
  <c r="I57" i="1"/>
  <c r="B63" i="5" s="1"/>
  <c r="H58" i="1"/>
  <c r="I58" i="1"/>
  <c r="B64" i="5" s="1"/>
  <c r="H59" i="1"/>
  <c r="I59" i="1"/>
  <c r="B65" i="5" s="1"/>
  <c r="H60" i="1"/>
  <c r="I60" i="1"/>
  <c r="B66" i="5" s="1"/>
  <c r="H61" i="1"/>
  <c r="I61" i="1"/>
  <c r="B67" i="5" s="1"/>
  <c r="H62" i="1"/>
  <c r="I62" i="1"/>
  <c r="B68" i="5" s="1"/>
  <c r="H63" i="1"/>
  <c r="I63" i="1"/>
  <c r="B69" i="5" s="1"/>
  <c r="H64" i="1"/>
  <c r="I64" i="1"/>
  <c r="B70" i="5" s="1"/>
  <c r="H65" i="1"/>
  <c r="I65" i="1"/>
  <c r="B71" i="5" s="1"/>
  <c r="H66" i="1"/>
  <c r="I66" i="1"/>
  <c r="B72" i="5" s="1"/>
  <c r="H67" i="1"/>
  <c r="I67" i="1"/>
  <c r="B73" i="5" s="1"/>
  <c r="H68" i="1"/>
  <c r="I68" i="1"/>
  <c r="B74" i="5" s="1"/>
  <c r="H69" i="1"/>
  <c r="I69" i="1"/>
  <c r="B75" i="5" s="1"/>
  <c r="H70" i="1"/>
  <c r="I70" i="1"/>
  <c r="B76" i="5" s="1"/>
  <c r="H71" i="1"/>
  <c r="I71" i="1"/>
  <c r="B77" i="5" s="1"/>
  <c r="H72" i="1"/>
  <c r="I72" i="1"/>
  <c r="B78" i="5" s="1"/>
  <c r="H73" i="1"/>
  <c r="I73" i="1"/>
  <c r="B79" i="5" s="1"/>
  <c r="H74" i="1"/>
  <c r="I74" i="1"/>
  <c r="B80" i="5" s="1"/>
  <c r="H75" i="1"/>
  <c r="I75" i="1"/>
  <c r="B81" i="5" s="1"/>
  <c r="H76" i="1"/>
  <c r="I76" i="1"/>
  <c r="B82" i="5" s="1"/>
  <c r="H77" i="1"/>
  <c r="I77" i="1"/>
  <c r="B83" i="5" s="1"/>
  <c r="H78" i="1"/>
  <c r="I78" i="1"/>
  <c r="B84" i="5" s="1"/>
  <c r="H79" i="1"/>
  <c r="I79" i="1"/>
  <c r="B85" i="5" s="1"/>
  <c r="H80" i="1"/>
  <c r="I80" i="1"/>
  <c r="B86" i="5" s="1"/>
  <c r="H81" i="1"/>
  <c r="I81" i="1"/>
  <c r="B87" i="5" s="1"/>
  <c r="H82" i="1"/>
  <c r="I82" i="1"/>
  <c r="B88" i="5" s="1"/>
  <c r="H83" i="1"/>
  <c r="I83" i="1"/>
  <c r="B89" i="5" s="1"/>
  <c r="H84" i="1"/>
  <c r="I84" i="1"/>
  <c r="B90" i="5" s="1"/>
  <c r="H85" i="1"/>
  <c r="I85" i="1"/>
  <c r="B91" i="5" s="1"/>
  <c r="H86" i="1"/>
  <c r="I86" i="1"/>
  <c r="B92" i="5" s="1"/>
  <c r="H87" i="1"/>
  <c r="I87" i="1"/>
  <c r="B93" i="5" s="1"/>
  <c r="H88" i="1"/>
  <c r="I88" i="1"/>
  <c r="B94" i="5" s="1"/>
  <c r="H89" i="1"/>
  <c r="I89" i="1"/>
  <c r="B95" i="5" s="1"/>
  <c r="H90" i="1"/>
  <c r="I90" i="1"/>
  <c r="B96" i="5" s="1"/>
  <c r="H91" i="1"/>
  <c r="I91" i="1"/>
  <c r="B97" i="5" s="1"/>
  <c r="H92" i="1"/>
  <c r="I92" i="1"/>
  <c r="B98" i="5" s="1"/>
  <c r="H93" i="1"/>
  <c r="I93" i="1"/>
  <c r="B99" i="5" s="1"/>
  <c r="H94" i="1"/>
  <c r="I94" i="1"/>
  <c r="B100" i="5" s="1"/>
  <c r="H95" i="1"/>
  <c r="I95" i="1"/>
  <c r="B101" i="5" s="1"/>
  <c r="H96" i="1"/>
  <c r="I96" i="1"/>
  <c r="B102" i="5" s="1"/>
  <c r="H97" i="1"/>
  <c r="I97" i="1"/>
  <c r="B103" i="5" s="1"/>
  <c r="H98" i="1"/>
  <c r="I98" i="1"/>
  <c r="B104" i="5" s="1"/>
  <c r="H99" i="1"/>
  <c r="I99" i="1"/>
  <c r="B105" i="5" s="1"/>
  <c r="H100" i="1"/>
  <c r="I100" i="1"/>
  <c r="B106" i="5" s="1"/>
  <c r="H101" i="1"/>
  <c r="I101" i="1"/>
  <c r="B107" i="5" s="1"/>
  <c r="H102" i="1"/>
  <c r="I102" i="1"/>
  <c r="B108" i="5" s="1"/>
  <c r="H103" i="1"/>
  <c r="I103" i="1"/>
  <c r="B109" i="5" s="1"/>
  <c r="H104" i="1"/>
  <c r="I104" i="1"/>
  <c r="B110" i="5" s="1"/>
  <c r="H46" i="1"/>
  <c r="F1" i="1"/>
  <c r="B10" i="5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C4" i="1"/>
  <c r="D4" i="1"/>
  <c r="E4" i="1"/>
  <c r="B4" i="1"/>
  <c r="F9" i="6" l="1"/>
  <c r="F10" i="6" s="1"/>
  <c r="G8" i="6"/>
  <c r="G9" i="6"/>
  <c r="H6" i="1"/>
  <c r="H7" i="1"/>
  <c r="H24" i="1"/>
  <c r="H5" i="1"/>
  <c r="H22" i="1"/>
  <c r="H9" i="1"/>
  <c r="H4" i="1"/>
  <c r="H11" i="1"/>
  <c r="F11" i="6" l="1"/>
  <c r="G10" i="6"/>
  <c r="H10" i="1"/>
  <c r="H13" i="1"/>
  <c r="H15" i="1"/>
  <c r="H8" i="1"/>
  <c r="H18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5" i="1"/>
  <c r="E32" i="3"/>
  <c r="F32" i="3"/>
  <c r="G32" i="3"/>
  <c r="E33" i="3"/>
  <c r="F33" i="3"/>
  <c r="G33" i="3"/>
  <c r="E34" i="3"/>
  <c r="F34" i="3"/>
  <c r="G34" i="3"/>
  <c r="E35" i="3"/>
  <c r="F35" i="3"/>
  <c r="G35" i="3"/>
  <c r="E36" i="3"/>
  <c r="F36" i="3"/>
  <c r="G36" i="3"/>
  <c r="E37" i="3"/>
  <c r="F37" i="3"/>
  <c r="G37" i="3"/>
  <c r="E38" i="3"/>
  <c r="F38" i="3"/>
  <c r="G38" i="3"/>
  <c r="E39" i="3"/>
  <c r="F39" i="3"/>
  <c r="G39" i="3"/>
  <c r="E40" i="3"/>
  <c r="F40" i="3"/>
  <c r="G40" i="3"/>
  <c r="E41" i="3"/>
  <c r="F41" i="3"/>
  <c r="G41" i="3"/>
  <c r="E42" i="3"/>
  <c r="F42" i="3"/>
  <c r="G42" i="3"/>
  <c r="E43" i="3"/>
  <c r="F43" i="3"/>
  <c r="G43" i="3"/>
  <c r="E44" i="3"/>
  <c r="F44" i="3"/>
  <c r="G44" i="3"/>
  <c r="E45" i="3"/>
  <c r="F45" i="3"/>
  <c r="G45" i="3"/>
  <c r="E46" i="3"/>
  <c r="F46" i="3"/>
  <c r="G46" i="3"/>
  <c r="E47" i="3"/>
  <c r="F47" i="3"/>
  <c r="G47" i="3"/>
  <c r="E48" i="3"/>
  <c r="F48" i="3"/>
  <c r="G48" i="3"/>
  <c r="E49" i="3"/>
  <c r="F49" i="3"/>
  <c r="G49" i="3"/>
  <c r="E50" i="3"/>
  <c r="F50" i="3"/>
  <c r="G50" i="3"/>
  <c r="F31" i="3"/>
  <c r="G31" i="3"/>
  <c r="E31" i="3"/>
  <c r="I24" i="3"/>
  <c r="H24" i="3"/>
  <c r="G24" i="3"/>
  <c r="F24" i="3"/>
  <c r="I23" i="3"/>
  <c r="H23" i="3"/>
  <c r="G23" i="3"/>
  <c r="F23" i="3"/>
  <c r="I22" i="3"/>
  <c r="H22" i="3"/>
  <c r="G22" i="3"/>
  <c r="F22" i="3"/>
  <c r="I21" i="3"/>
  <c r="H21" i="3"/>
  <c r="G21" i="3"/>
  <c r="F21" i="3"/>
  <c r="I20" i="3"/>
  <c r="H20" i="3"/>
  <c r="G20" i="3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F16" i="3"/>
  <c r="I15" i="3"/>
  <c r="H15" i="3"/>
  <c r="G15" i="3"/>
  <c r="F15" i="3"/>
  <c r="I14" i="3"/>
  <c r="H14" i="3"/>
  <c r="G14" i="3"/>
  <c r="F14" i="3"/>
  <c r="I13" i="3"/>
  <c r="H13" i="3"/>
  <c r="G13" i="3"/>
  <c r="F13" i="3"/>
  <c r="I12" i="3"/>
  <c r="H12" i="3"/>
  <c r="G12" i="3"/>
  <c r="F12" i="3"/>
  <c r="I11" i="3"/>
  <c r="H11" i="3"/>
  <c r="G11" i="3"/>
  <c r="F11" i="3"/>
  <c r="I10" i="3"/>
  <c r="H10" i="3"/>
  <c r="G10" i="3"/>
  <c r="F10" i="3"/>
  <c r="I9" i="3"/>
  <c r="H9" i="3"/>
  <c r="G9" i="3"/>
  <c r="F9" i="3"/>
  <c r="I8" i="3"/>
  <c r="H8" i="3"/>
  <c r="G8" i="3"/>
  <c r="F8" i="3"/>
  <c r="I7" i="3"/>
  <c r="H7" i="3"/>
  <c r="G7" i="3"/>
  <c r="F7" i="3"/>
  <c r="I6" i="3"/>
  <c r="H6" i="3"/>
  <c r="G6" i="3"/>
  <c r="F6" i="3"/>
  <c r="I5" i="3"/>
  <c r="H5" i="3"/>
  <c r="G5" i="3"/>
  <c r="F5" i="3"/>
  <c r="I24" i="4"/>
  <c r="H24" i="4"/>
  <c r="G24" i="4"/>
  <c r="F24" i="4"/>
  <c r="I23" i="4"/>
  <c r="H23" i="4"/>
  <c r="G23" i="4"/>
  <c r="F23" i="4"/>
  <c r="I22" i="4"/>
  <c r="H22" i="4"/>
  <c r="G22" i="4"/>
  <c r="F22" i="4"/>
  <c r="I21" i="4"/>
  <c r="H21" i="4"/>
  <c r="G21" i="4"/>
  <c r="F21" i="4"/>
  <c r="I20" i="4"/>
  <c r="H20" i="4"/>
  <c r="G20" i="4"/>
  <c r="F20" i="4"/>
  <c r="I19" i="4"/>
  <c r="H19" i="4"/>
  <c r="G19" i="4"/>
  <c r="F19" i="4"/>
  <c r="I18" i="4"/>
  <c r="H18" i="4"/>
  <c r="G18" i="4"/>
  <c r="F18" i="4"/>
  <c r="I17" i="4"/>
  <c r="H17" i="4"/>
  <c r="G17" i="4"/>
  <c r="F17" i="4"/>
  <c r="I16" i="4"/>
  <c r="H16" i="4"/>
  <c r="G16" i="4"/>
  <c r="F16" i="4"/>
  <c r="I15" i="4"/>
  <c r="H15" i="4"/>
  <c r="G15" i="4"/>
  <c r="F15" i="4"/>
  <c r="I14" i="4"/>
  <c r="H14" i="4"/>
  <c r="G14" i="4"/>
  <c r="F14" i="4"/>
  <c r="I13" i="4"/>
  <c r="H13" i="4"/>
  <c r="G13" i="4"/>
  <c r="F13" i="4"/>
  <c r="I12" i="4"/>
  <c r="H12" i="4"/>
  <c r="G12" i="4"/>
  <c r="F12" i="4"/>
  <c r="I11" i="4"/>
  <c r="H11" i="4"/>
  <c r="G11" i="4"/>
  <c r="F11" i="4"/>
  <c r="I10" i="4"/>
  <c r="H10" i="4"/>
  <c r="G10" i="4"/>
  <c r="F10" i="4"/>
  <c r="I9" i="4"/>
  <c r="H9" i="4"/>
  <c r="G9" i="4"/>
  <c r="F9" i="4"/>
  <c r="I8" i="4"/>
  <c r="H8" i="4"/>
  <c r="G8" i="4"/>
  <c r="F8" i="4"/>
  <c r="I7" i="4"/>
  <c r="H7" i="4"/>
  <c r="G7" i="4"/>
  <c r="F7" i="4"/>
  <c r="I6" i="4"/>
  <c r="H6" i="4"/>
  <c r="G6" i="4"/>
  <c r="F6" i="4"/>
  <c r="I5" i="4"/>
  <c r="H5" i="4"/>
  <c r="G5" i="4"/>
  <c r="F5" i="4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4" i="2"/>
  <c r="H4" i="2"/>
  <c r="I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4" i="2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4" i="1"/>
  <c r="F12" i="6" l="1"/>
  <c r="G11" i="6"/>
  <c r="M47" i="1" a="1"/>
  <c r="M47" i="1" s="1"/>
  <c r="L49" i="1" a="1"/>
  <c r="L49" i="1" s="1"/>
  <c r="K51" i="1"/>
  <c r="M53" i="1" a="1"/>
  <c r="M53" i="1" s="1"/>
  <c r="K55" i="1"/>
  <c r="L59" i="1" a="1"/>
  <c r="L59" i="1" s="1"/>
  <c r="K61" i="1"/>
  <c r="M63" i="1" a="1"/>
  <c r="M63" i="1" s="1"/>
  <c r="L65" i="1" a="1"/>
  <c r="L65" i="1" s="1"/>
  <c r="M69" i="1" a="1"/>
  <c r="M69" i="1" s="1"/>
  <c r="K71" i="1"/>
  <c r="L75" i="1" a="1"/>
  <c r="L75" i="1" s="1"/>
  <c r="K77" i="1"/>
  <c r="L81" i="1" a="1"/>
  <c r="L81" i="1" s="1"/>
  <c r="L87" i="1" a="1"/>
  <c r="L87" i="1" s="1"/>
  <c r="L89" i="1" a="1"/>
  <c r="L89" i="1" s="1"/>
  <c r="L92" i="1" a="1"/>
  <c r="L92" i="1" s="1"/>
  <c r="M93" i="1" a="1"/>
  <c r="M93" i="1" s="1"/>
  <c r="L96" i="1" a="1"/>
  <c r="L96" i="1" s="1"/>
  <c r="M97" i="1" a="1"/>
  <c r="M97" i="1" s="1"/>
  <c r="L100" i="1" a="1"/>
  <c r="L100" i="1" s="1"/>
  <c r="M101" i="1" a="1"/>
  <c r="M101" i="1" s="1"/>
  <c r="M104" i="1" a="1"/>
  <c r="M104" i="1" s="1"/>
  <c r="L69" i="1" a="1"/>
  <c r="L69" i="1" s="1"/>
  <c r="K81" i="1"/>
  <c r="M83" i="1" a="1"/>
  <c r="M83" i="1" s="1"/>
  <c r="L93" i="1" a="1"/>
  <c r="L93" i="1" s="1"/>
  <c r="M102" i="1" a="1"/>
  <c r="M102" i="1" s="1"/>
  <c r="M49" i="1" a="1"/>
  <c r="M49" i="1" s="1"/>
  <c r="L51" i="1" a="1"/>
  <c r="L51" i="1" s="1"/>
  <c r="J53" i="1"/>
  <c r="L55" i="1" a="1"/>
  <c r="L55" i="1" s="1"/>
  <c r="M59" i="1" a="1"/>
  <c r="M59" i="1" s="1"/>
  <c r="L61" i="1" a="1"/>
  <c r="L61" i="1" s="1"/>
  <c r="M65" i="1" a="1"/>
  <c r="M65" i="1" s="1"/>
  <c r="L71" i="1" a="1"/>
  <c r="L71" i="1" s="1"/>
  <c r="M75" i="1" a="1"/>
  <c r="M75" i="1" s="1"/>
  <c r="L77" i="1" a="1"/>
  <c r="L77" i="1" s="1"/>
  <c r="M81" i="1" a="1"/>
  <c r="M81" i="1" s="1"/>
  <c r="M84" i="1" a="1"/>
  <c r="M84" i="1" s="1"/>
  <c r="M87" i="1" a="1"/>
  <c r="M87" i="1" s="1"/>
  <c r="M89" i="1" a="1"/>
  <c r="M89" i="1" s="1"/>
  <c r="M92" i="1" a="1"/>
  <c r="M92" i="1" s="1"/>
  <c r="M96" i="1" a="1"/>
  <c r="M96" i="1" s="1"/>
  <c r="M100" i="1" a="1"/>
  <c r="M100" i="1" s="1"/>
  <c r="K49" i="1"/>
  <c r="J51" i="1"/>
  <c r="M57" i="1" a="1"/>
  <c r="M57" i="1" s="1"/>
  <c r="K59" i="1"/>
  <c r="L63" i="1" a="1"/>
  <c r="L63" i="1" s="1"/>
  <c r="M67" i="1" a="1"/>
  <c r="M67" i="1" s="1"/>
  <c r="M74" i="1" a="1"/>
  <c r="M74" i="1" s="1"/>
  <c r="J77" i="1"/>
  <c r="M80" i="1" a="1"/>
  <c r="M80" i="1" s="1"/>
  <c r="K87" i="1"/>
  <c r="M90" i="1" a="1"/>
  <c r="M90" i="1" s="1"/>
  <c r="K92" i="1"/>
  <c r="M98" i="1" a="1"/>
  <c r="M98" i="1" s="1"/>
  <c r="K47" i="1"/>
  <c r="J49" i="1"/>
  <c r="M51" i="1" a="1"/>
  <c r="M51" i="1" s="1"/>
  <c r="M55" i="1" a="1"/>
  <c r="M55" i="1" s="1"/>
  <c r="M61" i="1" a="1"/>
  <c r="M61" i="1" s="1"/>
  <c r="J65" i="1"/>
  <c r="M71" i="1" a="1"/>
  <c r="M71" i="1" s="1"/>
  <c r="M77" i="1" a="1"/>
  <c r="M77" i="1" s="1"/>
  <c r="J92" i="1"/>
  <c r="J93" i="1"/>
  <c r="J96" i="1"/>
  <c r="J97" i="1"/>
  <c r="J100" i="1"/>
  <c r="J101" i="1"/>
  <c r="L47" i="1" a="1"/>
  <c r="L47" i="1" s="1"/>
  <c r="L53" i="1" a="1"/>
  <c r="L53" i="1" s="1"/>
  <c r="J55" i="1"/>
  <c r="M58" i="1" a="1"/>
  <c r="M58" i="1" s="1"/>
  <c r="J61" i="1"/>
  <c r="K65" i="1"/>
  <c r="J71" i="1"/>
  <c r="K75" i="1"/>
  <c r="M79" i="1" a="1"/>
  <c r="M79" i="1" s="1"/>
  <c r="L84" i="1" a="1"/>
  <c r="L84" i="1" s="1"/>
  <c r="L86" i="1" a="1"/>
  <c r="L86" i="1" s="1"/>
  <c r="K89" i="1"/>
  <c r="M94" i="1" a="1"/>
  <c r="M94" i="1" s="1"/>
  <c r="K96" i="1"/>
  <c r="L97" i="1" a="1"/>
  <c r="L97" i="1" s="1"/>
  <c r="K100" i="1"/>
  <c r="L101" i="1" a="1"/>
  <c r="L101" i="1" s="1"/>
  <c r="J104" i="1"/>
  <c r="J102" i="1"/>
  <c r="M54" i="1" a="1"/>
  <c r="M54" i="1" s="1"/>
  <c r="J83" i="1"/>
  <c r="J59" i="1"/>
  <c r="M82" i="1" a="1"/>
  <c r="M82" i="1" s="1"/>
  <c r="J89" i="1"/>
  <c r="J69" i="1"/>
  <c r="K91" i="1"/>
  <c r="M99" i="1" a="1"/>
  <c r="M99" i="1" s="1"/>
  <c r="L90" i="1" a="1"/>
  <c r="L90" i="1" s="1"/>
  <c r="L73" i="1" a="1"/>
  <c r="L73" i="1" s="1"/>
  <c r="L57" i="1" a="1"/>
  <c r="L57" i="1" s="1"/>
  <c r="K98" i="1"/>
  <c r="K94" i="1"/>
  <c r="K90" i="1"/>
  <c r="K73" i="1"/>
  <c r="K57" i="1"/>
  <c r="M88" i="1" a="1"/>
  <c r="M88" i="1" s="1"/>
  <c r="J99" i="1"/>
  <c r="J76" i="1"/>
  <c r="L64" i="1" a="1"/>
  <c r="L64" i="1" s="1"/>
  <c r="L48" i="1" a="1"/>
  <c r="L48" i="1" s="1"/>
  <c r="L78" i="1" a="1"/>
  <c r="L78" i="1" s="1"/>
  <c r="L72" i="1" a="1"/>
  <c r="L72" i="1" s="1"/>
  <c r="L60" i="1" a="1"/>
  <c r="L60" i="1" s="1"/>
  <c r="L56" i="1" a="1"/>
  <c r="L56" i="1" s="1"/>
  <c r="K84" i="1"/>
  <c r="J80" i="1"/>
  <c r="J74" i="1"/>
  <c r="J70" i="1"/>
  <c r="J66" i="1"/>
  <c r="J62" i="1"/>
  <c r="J58" i="1"/>
  <c r="J54" i="1"/>
  <c r="J68" i="1"/>
  <c r="M72" i="1" a="1"/>
  <c r="M72" i="1" s="1"/>
  <c r="M56" i="1" a="1"/>
  <c r="M56" i="1" s="1"/>
  <c r="L50" i="1" a="1"/>
  <c r="L50" i="1" s="1"/>
  <c r="L52" i="1" a="1"/>
  <c r="L52" i="1" s="1"/>
  <c r="M95" i="1" a="1"/>
  <c r="M95" i="1" s="1"/>
  <c r="J98" i="1"/>
  <c r="M52" i="1" a="1"/>
  <c r="M52" i="1" s="1"/>
  <c r="K104" i="1"/>
  <c r="N104" i="1" s="1"/>
  <c r="L83" i="1" a="1"/>
  <c r="L83" i="1" s="1"/>
  <c r="K95" i="1"/>
  <c r="L95" i="1" a="1"/>
  <c r="L95" i="1" s="1"/>
  <c r="K83" i="1"/>
  <c r="K67" i="1"/>
  <c r="M48" i="1" a="1"/>
  <c r="M48" i="1" s="1"/>
  <c r="J78" i="1"/>
  <c r="J72" i="1"/>
  <c r="J56" i="1"/>
  <c r="L74" i="1" a="1"/>
  <c r="L74" i="1" s="1"/>
  <c r="L66" i="1" a="1"/>
  <c r="L66" i="1" s="1"/>
  <c r="L58" i="1" a="1"/>
  <c r="L58" i="1" s="1"/>
  <c r="L54" i="1" a="1"/>
  <c r="L54" i="1" s="1"/>
  <c r="J82" i="1"/>
  <c r="M50" i="1" a="1"/>
  <c r="M50" i="1" s="1"/>
  <c r="J87" i="1"/>
  <c r="J67" i="1"/>
  <c r="L99" i="1" a="1"/>
  <c r="L99" i="1" s="1"/>
  <c r="L102" i="1" a="1"/>
  <c r="L102" i="1" s="1"/>
  <c r="L79" i="1" a="1"/>
  <c r="L79" i="1" s="1"/>
  <c r="L103" i="1" a="1"/>
  <c r="L103" i="1" s="1"/>
  <c r="K79" i="1"/>
  <c r="K99" i="1"/>
  <c r="J94" i="1"/>
  <c r="M103" i="1" a="1"/>
  <c r="M103" i="1" s="1"/>
  <c r="J81" i="1"/>
  <c r="J57" i="1"/>
  <c r="M62" i="1" a="1"/>
  <c r="M62" i="1" s="1"/>
  <c r="J85" i="1"/>
  <c r="J63" i="1"/>
  <c r="M73" i="1" a="1"/>
  <c r="M73" i="1" s="1"/>
  <c r="L98" i="1" a="1"/>
  <c r="L98" i="1" s="1"/>
  <c r="L85" i="1" a="1"/>
  <c r="L85" i="1" s="1"/>
  <c r="K69" i="1"/>
  <c r="K103" i="1"/>
  <c r="K102" i="1"/>
  <c r="K97" i="1"/>
  <c r="K93" i="1"/>
  <c r="K85" i="1"/>
  <c r="J52" i="1"/>
  <c r="M85" i="1" a="1"/>
  <c r="M85" i="1" s="1"/>
  <c r="J95" i="1"/>
  <c r="L82" i="1" a="1"/>
  <c r="L82" i="1" s="1"/>
  <c r="L76" i="1" a="1"/>
  <c r="L76" i="1" s="1"/>
  <c r="J48" i="1"/>
  <c r="K78" i="1"/>
  <c r="K72" i="1"/>
  <c r="K60" i="1"/>
  <c r="K56" i="1"/>
  <c r="J84" i="1"/>
  <c r="L80" i="1" a="1"/>
  <c r="L80" i="1" s="1"/>
  <c r="K82" i="1"/>
  <c r="M68" i="1" a="1"/>
  <c r="M68" i="1" s="1"/>
  <c r="J50" i="1"/>
  <c r="M70" i="1" a="1"/>
  <c r="M70" i="1" s="1"/>
  <c r="J73" i="1"/>
  <c r="J79" i="1"/>
  <c r="K53" i="1"/>
  <c r="L94" i="1" a="1"/>
  <c r="L94" i="1" s="1"/>
  <c r="L67" i="1" a="1"/>
  <c r="L67" i="1" s="1"/>
  <c r="K101" i="1"/>
  <c r="L91" i="1" a="1"/>
  <c r="L91" i="1" s="1"/>
  <c r="J47" i="1"/>
  <c r="J91" i="1"/>
  <c r="K64" i="1"/>
  <c r="K86" i="1"/>
  <c r="K88" i="1"/>
  <c r="J60" i="1"/>
  <c r="L104" i="1" a="1"/>
  <c r="L104" i="1" s="1"/>
  <c r="M76" i="1" a="1"/>
  <c r="M76" i="1" s="1"/>
  <c r="L70" i="1" a="1"/>
  <c r="L70" i="1" s="1"/>
  <c r="L62" i="1" a="1"/>
  <c r="L62" i="1" s="1"/>
  <c r="L68" i="1" a="1"/>
  <c r="L68" i="1" s="1"/>
  <c r="M64" i="1" a="1"/>
  <c r="M64" i="1" s="1"/>
  <c r="M66" i="1" a="1"/>
  <c r="M66" i="1" s="1"/>
  <c r="J90" i="1"/>
  <c r="J75" i="1"/>
  <c r="M91" i="1" a="1"/>
  <c r="M91" i="1" s="1"/>
  <c r="K63" i="1"/>
  <c r="J103" i="1"/>
  <c r="K76" i="1"/>
  <c r="K70" i="1"/>
  <c r="K54" i="1"/>
  <c r="M78" i="1" a="1"/>
  <c r="M78" i="1" s="1"/>
  <c r="J64" i="1"/>
  <c r="J88" i="1"/>
  <c r="M86" i="1" a="1"/>
  <c r="M86" i="1" s="1"/>
  <c r="K66" i="1"/>
  <c r="M60" i="1" a="1"/>
  <c r="M60" i="1" s="1"/>
  <c r="K52" i="1"/>
  <c r="K48" i="1"/>
  <c r="K80" i="1"/>
  <c r="K62" i="1"/>
  <c r="K68" i="1"/>
  <c r="J86" i="1"/>
  <c r="K74" i="1"/>
  <c r="K58" i="1"/>
  <c r="L88" i="1" a="1"/>
  <c r="L88" i="1" s="1"/>
  <c r="K50" i="1"/>
  <c r="K4" i="1"/>
  <c r="M5" i="1" a="1"/>
  <c r="M5" i="1" s="1"/>
  <c r="K39" i="1"/>
  <c r="K7" i="1"/>
  <c r="M8" i="1" a="1"/>
  <c r="M8" i="1" s="1"/>
  <c r="K11" i="1"/>
  <c r="K46" i="1"/>
  <c r="K6" i="1"/>
  <c r="K41" i="1"/>
  <c r="M38" i="1" a="1"/>
  <c r="M38" i="1" s="1"/>
  <c r="M34" i="1" a="1"/>
  <c r="M34" i="1" s="1"/>
  <c r="K34" i="1"/>
  <c r="K31" i="1"/>
  <c r="M45" i="1" a="1"/>
  <c r="M45" i="1" s="1"/>
  <c r="M37" i="1" a="1"/>
  <c r="M37" i="1" s="1"/>
  <c r="K45" i="1"/>
  <c r="K43" i="1"/>
  <c r="K5" i="1"/>
  <c r="M44" i="1" a="1"/>
  <c r="M44" i="1" s="1"/>
  <c r="M40" i="1" a="1"/>
  <c r="M40" i="1" s="1"/>
  <c r="M36" i="1" a="1"/>
  <c r="M36" i="1" s="1"/>
  <c r="M24" i="1" a="1"/>
  <c r="M24" i="1" s="1"/>
  <c r="K36" i="1"/>
  <c r="M4" i="1" a="1"/>
  <c r="M4" i="1" s="1"/>
  <c r="M6" i="1" a="1"/>
  <c r="M6" i="1" s="1"/>
  <c r="M46" i="1" a="1"/>
  <c r="M46" i="1" s="1"/>
  <c r="M42" i="1" a="1"/>
  <c r="M42" i="1" s="1"/>
  <c r="M30" i="1" a="1"/>
  <c r="M30" i="1" s="1"/>
  <c r="K42" i="1"/>
  <c r="K44" i="1"/>
  <c r="M41" i="1" a="1"/>
  <c r="M41" i="1" s="1"/>
  <c r="M33" i="1" a="1"/>
  <c r="M33" i="1" s="1"/>
  <c r="K38" i="1"/>
  <c r="K40" i="1"/>
  <c r="M43" i="1" a="1"/>
  <c r="M43" i="1" s="1"/>
  <c r="M39" i="1" a="1"/>
  <c r="M39" i="1" s="1"/>
  <c r="M35" i="1" a="1"/>
  <c r="M35" i="1" s="1"/>
  <c r="K26" i="1"/>
  <c r="K25" i="1"/>
  <c r="K32" i="1"/>
  <c r="K37" i="1"/>
  <c r="K35" i="1"/>
  <c r="H19" i="1"/>
  <c r="M26" i="1" s="1" a="1"/>
  <c r="M26" i="1" s="1"/>
  <c r="H12" i="1"/>
  <c r="K8" i="1" s="1"/>
  <c r="M7" i="1" a="1"/>
  <c r="M7" i="1" s="1"/>
  <c r="H17" i="1"/>
  <c r="M16" i="1" s="1" a="1"/>
  <c r="M16" i="1" s="1"/>
  <c r="H14" i="1"/>
  <c r="K13" i="1" s="1"/>
  <c r="M9" i="1" a="1"/>
  <c r="M9" i="1" s="1"/>
  <c r="B45" i="5"/>
  <c r="J39" i="1"/>
  <c r="L39" i="1" a="1"/>
  <c r="L39" i="1" s="1"/>
  <c r="B33" i="5"/>
  <c r="L27" i="1" a="1"/>
  <c r="L27" i="1" s="1"/>
  <c r="J27" i="1"/>
  <c r="B21" i="5"/>
  <c r="L15" i="1" a="1"/>
  <c r="L15" i="1" s="1"/>
  <c r="J15" i="1"/>
  <c r="B52" i="5"/>
  <c r="L46" i="1" a="1"/>
  <c r="L46" i="1" s="1"/>
  <c r="J46" i="1"/>
  <c r="B48" i="5"/>
  <c r="J42" i="1"/>
  <c r="L42" i="1" a="1"/>
  <c r="L42" i="1" s="1"/>
  <c r="B44" i="5"/>
  <c r="L38" i="1" a="1"/>
  <c r="L38" i="1" s="1"/>
  <c r="J38" i="1"/>
  <c r="B40" i="5"/>
  <c r="J34" i="1"/>
  <c r="L34" i="1" a="1"/>
  <c r="L34" i="1" s="1"/>
  <c r="B36" i="5"/>
  <c r="L30" i="1" a="1"/>
  <c r="L30" i="1" s="1"/>
  <c r="J30" i="1"/>
  <c r="B32" i="5"/>
  <c r="J26" i="1"/>
  <c r="L26" i="1" a="1"/>
  <c r="L26" i="1" s="1"/>
  <c r="B28" i="5"/>
  <c r="L22" i="1" a="1"/>
  <c r="L22" i="1" s="1"/>
  <c r="J22" i="1"/>
  <c r="B24" i="5"/>
  <c r="J18" i="1"/>
  <c r="L18" i="1" a="1"/>
  <c r="L18" i="1" s="1"/>
  <c r="B20" i="5"/>
  <c r="L14" i="1" a="1"/>
  <c r="L14" i="1" s="1"/>
  <c r="J14" i="1"/>
  <c r="B16" i="5"/>
  <c r="L10" i="1" a="1"/>
  <c r="L10" i="1" s="1"/>
  <c r="J10" i="1"/>
  <c r="B12" i="5"/>
  <c r="L6" i="1" a="1"/>
  <c r="L6" i="1" s="1"/>
  <c r="J6" i="1"/>
  <c r="J4" i="1"/>
  <c r="L4" i="1" a="1"/>
  <c r="L4" i="1" s="1"/>
  <c r="B51" i="5"/>
  <c r="L45" i="1" a="1"/>
  <c r="L45" i="1" s="1"/>
  <c r="J45" i="1"/>
  <c r="B47" i="5"/>
  <c r="J41" i="1"/>
  <c r="L41" i="1" a="1"/>
  <c r="L41" i="1" s="1"/>
  <c r="B43" i="5"/>
  <c r="L37" i="1" a="1"/>
  <c r="L37" i="1" s="1"/>
  <c r="J37" i="1"/>
  <c r="B39" i="5"/>
  <c r="J33" i="1"/>
  <c r="L33" i="1" a="1"/>
  <c r="L33" i="1" s="1"/>
  <c r="B35" i="5"/>
  <c r="L29" i="1" a="1"/>
  <c r="L29" i="1" s="1"/>
  <c r="J29" i="1"/>
  <c r="B31" i="5"/>
  <c r="J25" i="1"/>
  <c r="L25" i="1" a="1"/>
  <c r="L25" i="1" s="1"/>
  <c r="B27" i="5"/>
  <c r="L21" i="1" a="1"/>
  <c r="L21" i="1" s="1"/>
  <c r="J21" i="1"/>
  <c r="B23" i="5"/>
  <c r="J17" i="1"/>
  <c r="L17" i="1" a="1"/>
  <c r="L17" i="1" s="1"/>
  <c r="B19" i="5"/>
  <c r="L13" i="1" a="1"/>
  <c r="L13" i="1" s="1"/>
  <c r="J13" i="1"/>
  <c r="B15" i="5"/>
  <c r="J9" i="1"/>
  <c r="L9" i="1" a="1"/>
  <c r="L9" i="1" s="1"/>
  <c r="B50" i="5"/>
  <c r="J44" i="1"/>
  <c r="L44" i="1" a="1"/>
  <c r="L44" i="1" s="1"/>
  <c r="B46" i="5"/>
  <c r="L40" i="1" a="1"/>
  <c r="L40" i="1" s="1"/>
  <c r="J40" i="1"/>
  <c r="B42" i="5"/>
  <c r="J36" i="1"/>
  <c r="L36" i="1" a="1"/>
  <c r="L36" i="1" s="1"/>
  <c r="B38" i="5"/>
  <c r="L32" i="1" a="1"/>
  <c r="L32" i="1" s="1"/>
  <c r="J32" i="1"/>
  <c r="B34" i="5"/>
  <c r="L28" i="1" a="1"/>
  <c r="L28" i="1" s="1"/>
  <c r="J28" i="1"/>
  <c r="B30" i="5"/>
  <c r="L24" i="1" a="1"/>
  <c r="L24" i="1" s="1"/>
  <c r="J24" i="1"/>
  <c r="B26" i="5"/>
  <c r="J20" i="1"/>
  <c r="L20" i="1" a="1"/>
  <c r="L20" i="1" s="1"/>
  <c r="B22" i="5"/>
  <c r="L16" i="1" a="1"/>
  <c r="L16" i="1" s="1"/>
  <c r="J16" i="1"/>
  <c r="B18" i="5"/>
  <c r="J12" i="1"/>
  <c r="L12" i="1" a="1"/>
  <c r="L12" i="1" s="1"/>
  <c r="B14" i="5"/>
  <c r="L8" i="1" a="1"/>
  <c r="L8" i="1" s="1"/>
  <c r="J8" i="1"/>
  <c r="B11" i="5"/>
  <c r="L5" i="1" a="1"/>
  <c r="L5" i="1" s="1"/>
  <c r="J5" i="1"/>
  <c r="B49" i="5"/>
  <c r="L43" i="1" a="1"/>
  <c r="L43" i="1" s="1"/>
  <c r="J43" i="1"/>
  <c r="B41" i="5"/>
  <c r="L35" i="1" a="1"/>
  <c r="L35" i="1" s="1"/>
  <c r="J35" i="1"/>
  <c r="B37" i="5"/>
  <c r="L31" i="1" a="1"/>
  <c r="L31" i="1" s="1"/>
  <c r="J31" i="1"/>
  <c r="B29" i="5"/>
  <c r="L23" i="1" a="1"/>
  <c r="L23" i="1" s="1"/>
  <c r="J23" i="1"/>
  <c r="B25" i="5"/>
  <c r="L19" i="1" a="1"/>
  <c r="L19" i="1" s="1"/>
  <c r="J19" i="1"/>
  <c r="B17" i="5"/>
  <c r="L11" i="1" a="1"/>
  <c r="L11" i="1" s="1"/>
  <c r="J11" i="1"/>
  <c r="B13" i="5"/>
  <c r="L7" i="1" a="1"/>
  <c r="L7" i="1" s="1"/>
  <c r="J7" i="1"/>
  <c r="F13" i="6" l="1"/>
  <c r="G12" i="6"/>
  <c r="N77" i="1"/>
  <c r="N69" i="1"/>
  <c r="N66" i="1"/>
  <c r="N72" i="1"/>
  <c r="M10" i="1" a="1"/>
  <c r="M10" i="1" s="1"/>
  <c r="K9" i="1"/>
  <c r="N9" i="1" s="1"/>
  <c r="N91" i="1"/>
  <c r="N82" i="1"/>
  <c r="N56" i="1"/>
  <c r="N55" i="1"/>
  <c r="N50" i="1"/>
  <c r="N68" i="1"/>
  <c r="N99" i="1"/>
  <c r="N78" i="1"/>
  <c r="N63" i="1"/>
  <c r="N84" i="1"/>
  <c r="N71" i="1"/>
  <c r="N94" i="1"/>
  <c r="N100" i="1"/>
  <c r="N92" i="1"/>
  <c r="N59" i="1"/>
  <c r="N76" i="1"/>
  <c r="N93" i="1"/>
  <c r="N79" i="1"/>
  <c r="N57" i="1"/>
  <c r="N98" i="1"/>
  <c r="N49" i="1"/>
  <c r="M25" i="1" a="1"/>
  <c r="M25" i="1" s="1"/>
  <c r="N25" i="1" s="1"/>
  <c r="K27" i="1"/>
  <c r="K24" i="1"/>
  <c r="N24" i="1" s="1"/>
  <c r="M23" i="1" a="1"/>
  <c r="M23" i="1" s="1"/>
  <c r="N90" i="1"/>
  <c r="N89" i="1"/>
  <c r="N48" i="1"/>
  <c r="N54" i="1"/>
  <c r="N95" i="1"/>
  <c r="N75" i="1"/>
  <c r="N61" i="1"/>
  <c r="N51" i="1"/>
  <c r="O51" i="1" s="1"/>
  <c r="C57" i="5" s="1"/>
  <c r="N58" i="1"/>
  <c r="N62" i="1"/>
  <c r="N52" i="1"/>
  <c r="N70" i="1"/>
  <c r="N86" i="1"/>
  <c r="N53" i="1"/>
  <c r="N102" i="1"/>
  <c r="N67" i="1"/>
  <c r="N73" i="1"/>
  <c r="O73" i="1" s="1"/>
  <c r="C79" i="5" s="1"/>
  <c r="N96" i="1"/>
  <c r="N47" i="1"/>
  <c r="N87" i="1"/>
  <c r="N81" i="1"/>
  <c r="O82" i="1" s="1"/>
  <c r="C88" i="5" s="1"/>
  <c r="N88" i="1"/>
  <c r="N60" i="1"/>
  <c r="N97" i="1"/>
  <c r="N45" i="1"/>
  <c r="N74" i="1"/>
  <c r="N80" i="1"/>
  <c r="N64" i="1"/>
  <c r="O64" i="1" s="1"/>
  <c r="C70" i="5" s="1"/>
  <c r="N101" i="1"/>
  <c r="N85" i="1"/>
  <c r="N103" i="1"/>
  <c r="N83" i="1"/>
  <c r="N65" i="1"/>
  <c r="K17" i="1"/>
  <c r="K14" i="1"/>
  <c r="N44" i="1"/>
  <c r="N46" i="1"/>
  <c r="N36" i="1"/>
  <c r="N41" i="1"/>
  <c r="N35" i="1"/>
  <c r="N26" i="1"/>
  <c r="N42" i="1"/>
  <c r="N39" i="1"/>
  <c r="N37" i="1"/>
  <c r="N40" i="1"/>
  <c r="N43" i="1"/>
  <c r="N34" i="1"/>
  <c r="N38" i="1"/>
  <c r="N7" i="1"/>
  <c r="N6" i="1"/>
  <c r="N4" i="1"/>
  <c r="N8" i="1"/>
  <c r="N5" i="1"/>
  <c r="H16" i="1"/>
  <c r="K16" i="1" s="1"/>
  <c r="N16" i="1" s="1"/>
  <c r="M11" i="1" a="1"/>
  <c r="M11" i="1" s="1"/>
  <c r="N11" i="1" s="1"/>
  <c r="H23" i="1"/>
  <c r="M13" i="1" s="1" a="1"/>
  <c r="M13" i="1" s="1"/>
  <c r="N13" i="1" s="1"/>
  <c r="M17" i="1" a="1"/>
  <c r="M17" i="1" s="1"/>
  <c r="K18" i="1"/>
  <c r="H21" i="1"/>
  <c r="M12" i="1" s="1" a="1"/>
  <c r="M12" i="1" s="1"/>
  <c r="O70" i="1" l="1"/>
  <c r="C76" i="5" s="1"/>
  <c r="F14" i="6"/>
  <c r="G13" i="6"/>
  <c r="O66" i="1"/>
  <c r="C72" i="5" s="1"/>
  <c r="O67" i="1"/>
  <c r="C73" i="5" s="1"/>
  <c r="M15" i="1" a="1"/>
  <c r="M15" i="1" s="1"/>
  <c r="O77" i="1"/>
  <c r="C83" i="5" s="1"/>
  <c r="O78" i="1"/>
  <c r="C84" i="5" s="1"/>
  <c r="O72" i="1"/>
  <c r="C78" i="5" s="1"/>
  <c r="O69" i="1"/>
  <c r="C75" i="5" s="1"/>
  <c r="O101" i="1"/>
  <c r="C107" i="5" s="1"/>
  <c r="O91" i="1"/>
  <c r="C97" i="5" s="1"/>
  <c r="O92" i="1"/>
  <c r="C98" i="5" s="1"/>
  <c r="O63" i="1"/>
  <c r="C69" i="5" s="1"/>
  <c r="O56" i="1"/>
  <c r="C62" i="5" s="1"/>
  <c r="O93" i="1"/>
  <c r="C99" i="5" s="1"/>
  <c r="O58" i="1"/>
  <c r="C64" i="5" s="1"/>
  <c r="O83" i="1"/>
  <c r="C89" i="5" s="1"/>
  <c r="O85" i="1"/>
  <c r="C91" i="5" s="1"/>
  <c r="O50" i="1"/>
  <c r="C56" i="5" s="1"/>
  <c r="O57" i="1"/>
  <c r="C63" i="5" s="1"/>
  <c r="K22" i="1"/>
  <c r="K10" i="1"/>
  <c r="N10" i="1" s="1"/>
  <c r="O10" i="1" s="1"/>
  <c r="C16" i="5" s="1"/>
  <c r="O100" i="1"/>
  <c r="C106" i="5" s="1"/>
  <c r="O94" i="1"/>
  <c r="C100" i="5" s="1"/>
  <c r="O99" i="1"/>
  <c r="C105" i="5" s="1"/>
  <c r="O87" i="1"/>
  <c r="C93" i="5" s="1"/>
  <c r="O55" i="1"/>
  <c r="C61" i="5" s="1"/>
  <c r="O79" i="1"/>
  <c r="C85" i="5" s="1"/>
  <c r="O80" i="1"/>
  <c r="C86" i="5" s="1"/>
  <c r="O60" i="1"/>
  <c r="C66" i="5" s="1"/>
  <c r="O71" i="1"/>
  <c r="C77" i="5" s="1"/>
  <c r="N17" i="1"/>
  <c r="O17" i="1" s="1"/>
  <c r="C23" i="5" s="1"/>
  <c r="O49" i="1"/>
  <c r="C55" i="5" s="1"/>
  <c r="O53" i="1"/>
  <c r="C59" i="5" s="1"/>
  <c r="O75" i="1"/>
  <c r="C81" i="5" s="1"/>
  <c r="O89" i="1"/>
  <c r="C95" i="5" s="1"/>
  <c r="O103" i="1"/>
  <c r="C109" i="5" s="1"/>
  <c r="O76" i="1"/>
  <c r="C82" i="5" s="1"/>
  <c r="O46" i="1"/>
  <c r="C52" i="5" s="1"/>
  <c r="O39" i="1"/>
  <c r="C45" i="5" s="1"/>
  <c r="O45" i="1"/>
  <c r="C51" i="5" s="1"/>
  <c r="O90" i="1"/>
  <c r="C96" i="5" s="1"/>
  <c r="M32" i="1" a="1"/>
  <c r="M32" i="1" s="1"/>
  <c r="N32" i="1" s="1"/>
  <c r="K33" i="1"/>
  <c r="N33" i="1" s="1"/>
  <c r="O34" i="1" s="1"/>
  <c r="C40" i="5" s="1"/>
  <c r="M31" i="1" a="1"/>
  <c r="M31" i="1" s="1"/>
  <c r="N31" i="1" s="1"/>
  <c r="M28" i="1" a="1"/>
  <c r="M28" i="1" s="1"/>
  <c r="K30" i="1"/>
  <c r="N30" i="1" s="1"/>
  <c r="M29" i="1" a="1"/>
  <c r="M29" i="1" s="1"/>
  <c r="O61" i="1"/>
  <c r="C67" i="5" s="1"/>
  <c r="O104" i="1"/>
  <c r="C110" i="5" s="1"/>
  <c r="O68" i="1"/>
  <c r="C74" i="5" s="1"/>
  <c r="O54" i="1"/>
  <c r="C60" i="5" s="1"/>
  <c r="O81" i="1"/>
  <c r="C87" i="5" s="1"/>
  <c r="O97" i="1"/>
  <c r="C103" i="5" s="1"/>
  <c r="O86" i="1"/>
  <c r="C92" i="5" s="1"/>
  <c r="O96" i="1"/>
  <c r="C102" i="5" s="1"/>
  <c r="O95" i="1"/>
  <c r="C101" i="5" s="1"/>
  <c r="O59" i="1"/>
  <c r="C65" i="5" s="1"/>
  <c r="O74" i="1"/>
  <c r="C80" i="5" s="1"/>
  <c r="O88" i="1"/>
  <c r="C94" i="5" s="1"/>
  <c r="O102" i="1"/>
  <c r="C108" i="5" s="1"/>
  <c r="O52" i="1"/>
  <c r="C58" i="5" s="1"/>
  <c r="O48" i="1"/>
  <c r="C54" i="5" s="1"/>
  <c r="O98" i="1"/>
  <c r="C104" i="5" s="1"/>
  <c r="O84" i="1"/>
  <c r="C90" i="5" s="1"/>
  <c r="O65" i="1"/>
  <c r="C71" i="5" s="1"/>
  <c r="O62" i="1"/>
  <c r="C68" i="5" s="1"/>
  <c r="O26" i="1"/>
  <c r="C32" i="5" s="1"/>
  <c r="M21" i="1" a="1"/>
  <c r="M21" i="1" s="1"/>
  <c r="K23" i="1"/>
  <c r="N23" i="1" s="1"/>
  <c r="O24" i="1" s="1"/>
  <c r="C30" i="5" s="1"/>
  <c r="M22" i="1" a="1"/>
  <c r="M22" i="1" s="1"/>
  <c r="M20" i="1" a="1"/>
  <c r="M20" i="1" s="1"/>
  <c r="K21" i="1"/>
  <c r="O5" i="1"/>
  <c r="C11" i="5" s="1"/>
  <c r="O37" i="1"/>
  <c r="C43" i="5" s="1"/>
  <c r="O42" i="1"/>
  <c r="C48" i="5" s="1"/>
  <c r="O47" i="1"/>
  <c r="C53" i="5" s="1"/>
  <c r="O25" i="1"/>
  <c r="C31" i="5" s="1"/>
  <c r="O36" i="1"/>
  <c r="C42" i="5" s="1"/>
  <c r="O38" i="1"/>
  <c r="C44" i="5" s="1"/>
  <c r="O43" i="1"/>
  <c r="C49" i="5" s="1"/>
  <c r="O35" i="1"/>
  <c r="C41" i="5" s="1"/>
  <c r="O41" i="1"/>
  <c r="C47" i="5" s="1"/>
  <c r="O44" i="1"/>
  <c r="C50" i="5" s="1"/>
  <c r="O7" i="1"/>
  <c r="C13" i="5" s="1"/>
  <c r="O40" i="1"/>
  <c r="C46" i="5" s="1"/>
  <c r="O8" i="1"/>
  <c r="C14" i="5" s="1"/>
  <c r="O9" i="1"/>
  <c r="C15" i="5" s="1"/>
  <c r="O6" i="1"/>
  <c r="C12" i="5" s="1"/>
  <c r="H20" i="1"/>
  <c r="K15" i="1"/>
  <c r="M14" i="1" a="1"/>
  <c r="M14" i="1" s="1"/>
  <c r="N14" i="1" s="1"/>
  <c r="O14" i="1" s="1"/>
  <c r="C20" i="5" s="1"/>
  <c r="F15" i="6" l="1"/>
  <c r="G15" i="6" s="1"/>
  <c r="G14" i="6"/>
  <c r="N15" i="1"/>
  <c r="O15" i="1" s="1"/>
  <c r="C21" i="5" s="1"/>
  <c r="O11" i="1"/>
  <c r="C17" i="5" s="1"/>
  <c r="N22" i="1"/>
  <c r="O23" i="1" s="1"/>
  <c r="C29" i="5" s="1"/>
  <c r="M19" i="1" a="1"/>
  <c r="M19" i="1" s="1"/>
  <c r="K12" i="1"/>
  <c r="N12" i="1" s="1"/>
  <c r="O31" i="1"/>
  <c r="C37" i="5" s="1"/>
  <c r="O32" i="1"/>
  <c r="C38" i="5" s="1"/>
  <c r="K20" i="1"/>
  <c r="N20" i="1" s="1"/>
  <c r="K29" i="1"/>
  <c r="N29" i="1" s="1"/>
  <c r="M27" i="1" a="1"/>
  <c r="M27" i="1" s="1"/>
  <c r="N27" i="1" s="1"/>
  <c r="O27" i="1" s="1"/>
  <c r="C33" i="5" s="1"/>
  <c r="K28" i="1"/>
  <c r="N28" i="1" s="1"/>
  <c r="O33" i="1"/>
  <c r="C39" i="5" s="1"/>
  <c r="N21" i="1"/>
  <c r="K19" i="1"/>
  <c r="M18" i="1" a="1"/>
  <c r="M18" i="1" s="1"/>
  <c r="N18" i="1" s="1"/>
  <c r="O18" i="1" s="1"/>
  <c r="C24" i="5" s="1"/>
  <c r="O16" i="1" l="1"/>
  <c r="C22" i="5" s="1"/>
  <c r="O22" i="1"/>
  <c r="C28" i="5" s="1"/>
  <c r="N19" i="1"/>
  <c r="O19" i="1" s="1"/>
  <c r="C25" i="5" s="1"/>
  <c r="O12" i="1"/>
  <c r="C18" i="5" s="1"/>
  <c r="O13" i="1"/>
  <c r="C19" i="5" s="1"/>
  <c r="O28" i="1"/>
  <c r="C34" i="5" s="1"/>
  <c r="O30" i="1"/>
  <c r="C36" i="5" s="1"/>
  <c r="O29" i="1"/>
  <c r="C35" i="5" s="1"/>
  <c r="O21" i="1"/>
  <c r="C27" i="5" s="1"/>
  <c r="O20" i="1" l="1"/>
  <c r="C2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<sst xmlns="http://schemas.openxmlformats.org/spreadsheetml/2006/main" count="80" uniqueCount="57">
  <si>
    <t>delta T</t>
  </si>
  <si>
    <t>t/td</t>
  </si>
  <si>
    <t xml:space="preserve"> 4th</t>
  </si>
  <si>
    <t>3rd </t>
  </si>
  <si>
    <t>2nd  </t>
  </si>
  <si>
    <t>1st    </t>
  </si>
  <si>
    <t>P</t>
  </si>
  <si>
    <t>mm</t>
  </si>
  <si>
    <t>TD</t>
  </si>
  <si>
    <t>min</t>
  </si>
  <si>
    <t>T</t>
  </si>
  <si>
    <t>pontos na curva</t>
  </si>
  <si>
    <t>intervalos</t>
  </si>
  <si>
    <r>
      <rPr>
        <b/>
        <sz val="10.5"/>
        <rFont val="Times New Roman"/>
        <family val="1"/>
      </rPr>
      <t>Table   1.   Median   Time   Distributions   of   Heavy   Storm   Rainfall on  Areas  of  50  to  400  Square  Miles</t>
    </r>
  </si>
  <si>
    <r>
      <rPr>
        <i/>
        <sz val="9.5"/>
        <rFont val="Times New Roman"/>
        <family val="1"/>
      </rPr>
      <t>Cumulative  percent  of  storm  rainfall  for  given  storm  type</t>
    </r>
  </si>
  <si>
    <t>Cumulative   percent of storm time</t>
  </si>
  <si>
    <r>
      <rPr>
        <b/>
        <sz val="10.5"/>
        <rFont val="Times New Roman"/>
        <family val="1"/>
      </rPr>
      <t xml:space="preserve">Table  2.  Median  Time  Distributions  of  Area1  Mean  Rainfall
</t>
    </r>
    <r>
      <rPr>
        <b/>
        <sz val="10.5"/>
        <rFont val="Times New Roman"/>
        <family val="1"/>
      </rPr>
      <t>in  First-Quartile  Storms  at  10%,  50%,  and  90%  Probability  Levels</t>
    </r>
  </si>
  <si>
    <r>
      <rPr>
        <i/>
        <sz val="9.5"/>
        <rFont val="Times New Roman"/>
        <family val="1"/>
      </rPr>
      <t>Cumulative  percent  of  storm  rainfall for  given  storm  probability</t>
    </r>
  </si>
  <si>
    <t>Cumulative  percent of  storm  time</t>
  </si>
  <si>
    <r>
      <rPr>
        <i/>
        <sz val="9.5"/>
        <rFont val="Times New Roman"/>
        <family val="1"/>
      </rPr>
      <t>Cumulative   percent of  storm  time</t>
    </r>
  </si>
  <si>
    <t xml:space="preserve">Table  3.  Median  Time  Distributions  of  Heavy  Storm  Rainfall at  a  Point </t>
  </si>
  <si>
    <r>
      <rPr>
        <b/>
        <sz val="10.5"/>
        <rFont val="Times New Roman"/>
        <family val="1"/>
      </rPr>
      <t>Table   4.   Median   Time   Distributions   of   Heavy   Storm   Rainfall on  Areas  of  10  to  50  Square  Miles</t>
    </r>
  </si>
  <si>
    <t>4th</t>
  </si>
  <si>
    <t>1st</t>
  </si>
  <si>
    <t>2nd</t>
  </si>
  <si>
    <t>3rd</t>
  </si>
  <si>
    <t>Quartil</t>
  </si>
  <si>
    <t>Hietograma</t>
  </si>
  <si>
    <t>Ponto</t>
  </si>
  <si>
    <t>Área 10 a 50</t>
  </si>
  <si>
    <t>Área 50 a 400</t>
  </si>
  <si>
    <t>Tempo</t>
  </si>
  <si>
    <t>X1</t>
  </si>
  <si>
    <t>Y1</t>
  </si>
  <si>
    <t>x2</t>
  </si>
  <si>
    <t>y2</t>
  </si>
  <si>
    <t>P Acum</t>
  </si>
  <si>
    <t>1º Quartil</t>
  </si>
  <si>
    <t>2º Quartil</t>
  </si>
  <si>
    <t>3º Quartil</t>
  </si>
  <si>
    <t>4º Quartil</t>
  </si>
  <si>
    <r>
      <t>Tempo/Tempo</t>
    </r>
    <r>
      <rPr>
        <vertAlign val="subscript"/>
        <sz val="11"/>
        <color theme="1"/>
        <rFont val="Calibri"/>
        <family val="2"/>
        <scheme val="minor"/>
      </rPr>
      <t>Tot</t>
    </r>
  </si>
  <si>
    <r>
      <t>Prec</t>
    </r>
    <r>
      <rPr>
        <vertAlign val="subscript"/>
        <sz val="11"/>
        <color theme="1"/>
        <rFont val="Calibri"/>
        <family val="2"/>
        <scheme val="minor"/>
      </rPr>
      <t>Acum</t>
    </r>
    <r>
      <rPr>
        <sz val="11"/>
        <color theme="1"/>
        <rFont val="Calibri"/>
        <family val="2"/>
        <scheme val="minor"/>
      </rPr>
      <t>/Prec</t>
    </r>
    <r>
      <rPr>
        <vertAlign val="subscript"/>
        <sz val="11"/>
        <color theme="1"/>
        <rFont val="Calibri"/>
        <family val="2"/>
        <scheme val="minor"/>
      </rPr>
      <t>Tot</t>
    </r>
  </si>
  <si>
    <r>
      <t>Prec</t>
    </r>
    <r>
      <rPr>
        <vertAlign val="subscript"/>
        <sz val="11"/>
        <color theme="1"/>
        <rFont val="Calibri"/>
        <family val="2"/>
        <scheme val="minor"/>
      </rPr>
      <t>Acum</t>
    </r>
  </si>
  <si>
    <t>Prec</t>
  </si>
  <si>
    <t>&lt; 12 Horas</t>
  </si>
  <si>
    <t>12 - 24 Horas</t>
  </si>
  <si>
    <t>&gt; 24 Horas</t>
  </si>
  <si>
    <t>Eventos</t>
  </si>
  <si>
    <t>%</t>
  </si>
  <si>
    <t>Duração</t>
  </si>
  <si>
    <t>1º</t>
  </si>
  <si>
    <t>2º</t>
  </si>
  <si>
    <t>3º</t>
  </si>
  <si>
    <t>4º</t>
  </si>
  <si>
    <t>6 - 12 Horas</t>
  </si>
  <si>
    <t>&lt; 6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</si>
</sst>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b/>
      <sz val="10.5"/>
      <name val="Times New Roman"/>
      <family val="1"/>
    </font>
    <font>
      <i/>
      <sz val="9.5"/>
      <name val="Times New Roman"/>
      <family val="1"/>
    </font>
    <font>
      <sz val="9.5"/>
      <color rgb="FF000000"/>
      <name val="Times New Roman"/>
      <family val="2"/>
    </font>
    <font>
      <i/>
      <sz val="9.5"/>
      <color rgb="FF000000"/>
      <name val="Times New Roman"/>
      <family val="2"/>
    </font>
    <font>
      <sz val="10"/>
      <color rgb="FF000000"/>
      <name val="Times New Roman"/>
      <family val="1"/>
    </font>
    <font>
      <b/>
      <sz val="10.5"/>
      <name val="Times New Roman"/>
      <family val="1"/>
    </font>
    <font>
      <i/>
      <sz val="9.5"/>
      <name val="Times New Roman"/>
      <family val="1"/>
    </font>
    <font>
      <sz val="8"/>
      <name val="Calibri"/>
      <family val="2"/>
      <scheme val="minor"/>
    </font>
    <font>
      <sz val="9.5"/>
      <name val="Times New Roman"/>
      <family val="1"/>
    </font>
    <font>
      <vertAlign val="sub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0" borderId="0"/>
    <xf numFmtId="0" fontId="8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2" applyFill="1" applyBorder="1" applyAlignment="1">
      <alignment horizontal="left" vertical="center" wrapText="1"/>
    </xf>
    <xf numFmtId="1" fontId="6" fillId="0" borderId="0" xfId="2" applyNumberFormat="1" applyFont="1" applyFill="1" applyBorder="1" applyAlignment="1">
      <alignment horizontal="center" vertical="top" shrinkToFit="1"/>
    </xf>
    <xf numFmtId="0" fontId="5" fillId="0" borderId="0" xfId="2" applyFont="1" applyFill="1" applyBorder="1" applyAlignment="1">
      <alignment vertical="top" wrapText="1"/>
    </xf>
    <xf numFmtId="0" fontId="5" fillId="0" borderId="0" xfId="2" applyFont="1" applyFill="1" applyBorder="1" applyAlignment="1">
      <alignment horizontal="center" vertical="top" wrapText="1"/>
    </xf>
    <xf numFmtId="0" fontId="3" fillId="0" borderId="0" xfId="2" applyFill="1" applyBorder="1" applyAlignment="1">
      <alignment horizontal="left" vertical="top" wrapText="1"/>
    </xf>
    <xf numFmtId="0" fontId="3" fillId="0" borderId="0" xfId="2" applyFill="1" applyBorder="1" applyAlignment="1">
      <alignment horizontal="center" wrapText="1"/>
    </xf>
    <xf numFmtId="1" fontId="6" fillId="0" borderId="0" xfId="2" applyNumberFormat="1" applyFont="1" applyFill="1" applyBorder="1" applyAlignment="1">
      <alignment horizontal="center" vertical="top" shrinkToFit="1"/>
    </xf>
    <xf numFmtId="0" fontId="3" fillId="0" borderId="0" xfId="2" applyFill="1" applyBorder="1" applyAlignment="1">
      <alignment horizontal="center" vertical="center" wrapText="1"/>
    </xf>
    <xf numFmtId="0" fontId="0" fillId="0" borderId="0" xfId="0" applyAlignment="1"/>
    <xf numFmtId="9" fontId="7" fillId="0" borderId="0" xfId="2" applyNumberFormat="1" applyFont="1" applyFill="1" applyBorder="1" applyAlignment="1">
      <alignment horizontal="center" vertical="center" shrinkToFit="1"/>
    </xf>
    <xf numFmtId="0" fontId="8" fillId="0" borderId="0" xfId="3" applyFill="1" applyBorder="1" applyAlignment="1">
      <alignment horizontal="left" vertical="center" wrapText="1"/>
    </xf>
    <xf numFmtId="0" fontId="8" fillId="0" borderId="0" xfId="3" applyFill="1" applyBorder="1" applyAlignment="1">
      <alignment horizontal="center" vertical="top" wrapText="1"/>
    </xf>
    <xf numFmtId="1" fontId="6" fillId="0" borderId="0" xfId="3" applyNumberFormat="1" applyFont="1" applyFill="1" applyBorder="1" applyAlignment="1">
      <alignment horizontal="center" vertical="top" shrinkToFit="1"/>
    </xf>
    <xf numFmtId="0" fontId="8" fillId="0" borderId="0" xfId="3" applyFill="1" applyBorder="1" applyAlignment="1">
      <alignment vertical="top" wrapText="1"/>
    </xf>
    <xf numFmtId="3" fontId="6" fillId="0" borderId="0" xfId="3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8" fillId="0" borderId="0" xfId="3" applyFill="1" applyBorder="1" applyAlignment="1">
      <alignment horizontal="left" vertical="center" wrapText="1"/>
    </xf>
    <xf numFmtId="0" fontId="8" fillId="0" borderId="0" xfId="3" applyFill="1" applyBorder="1" applyAlignment="1">
      <alignment horizontal="center" vertical="top" wrapText="1"/>
    </xf>
    <xf numFmtId="1" fontId="6" fillId="0" borderId="0" xfId="3" applyNumberFormat="1" applyFont="1" applyFill="1" applyBorder="1" applyAlignment="1">
      <alignment horizontal="center" vertical="top" shrinkToFit="1"/>
    </xf>
    <xf numFmtId="0" fontId="8" fillId="0" borderId="0" xfId="3" applyFill="1" applyBorder="1" applyAlignment="1">
      <alignment horizontal="center" vertical="center" wrapText="1"/>
    </xf>
    <xf numFmtId="0" fontId="9" fillId="0" borderId="0" xfId="3" applyFont="1" applyFill="1" applyBorder="1" applyAlignment="1">
      <alignment vertical="top" wrapText="1"/>
    </xf>
    <xf numFmtId="0" fontId="10" fillId="0" borderId="0" xfId="3" applyFont="1" applyFill="1" applyBorder="1" applyAlignment="1">
      <alignment vertical="top" wrapText="1"/>
    </xf>
    <xf numFmtId="1" fontId="5" fillId="0" borderId="0" xfId="2" applyNumberFormat="1" applyFont="1" applyFill="1" applyBorder="1" applyAlignment="1">
      <alignment horizontal="center" vertical="center" wrapText="1"/>
    </xf>
    <xf numFmtId="1" fontId="7" fillId="0" borderId="0" xfId="2" applyNumberFormat="1" applyFont="1" applyFill="1" applyBorder="1" applyAlignment="1">
      <alignment horizontal="center" vertical="center" shrinkToFit="1"/>
    </xf>
    <xf numFmtId="1" fontId="8" fillId="0" borderId="0" xfId="3" applyNumberFormat="1" applyFill="1" applyBorder="1" applyAlignment="1">
      <alignment horizontal="center" wrapText="1"/>
    </xf>
    <xf numFmtId="0" fontId="2" fillId="2" borderId="1" xfId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3" applyFont="1" applyFill="1" applyBorder="1" applyAlignment="1">
      <alignment horizontal="center" vertical="top" wrapText="1"/>
    </xf>
    <xf numFmtId="0" fontId="10" fillId="0" borderId="0" xfId="3" applyFont="1" applyFill="1" applyBorder="1" applyAlignment="1">
      <alignment horizontal="center" vertical="top" wrapText="1"/>
    </xf>
    <xf numFmtId="0" fontId="8" fillId="0" borderId="0" xfId="3" applyFill="1" applyBorder="1" applyAlignment="1">
      <alignment horizontal="center" vertical="center" wrapText="1"/>
    </xf>
    <xf numFmtId="0" fontId="9" fillId="0" borderId="0" xfId="3" applyFont="1" applyFill="1" applyBorder="1" applyAlignment="1">
      <alignment horizontal="center" vertical="top" wrapText="1"/>
    </xf>
    <xf numFmtId="0" fontId="3" fillId="0" borderId="0" xfId="2" applyFill="1" applyBorder="1" applyAlignment="1">
      <alignment horizontal="center" vertical="top" wrapText="1"/>
    </xf>
    <xf numFmtId="0" fontId="3" fillId="0" borderId="0" xfId="2" applyFill="1" applyBorder="1" applyAlignment="1">
      <alignment horizontal="center" vertical="center" wrapText="1"/>
    </xf>
    <xf numFmtId="0" fontId="5" fillId="0" borderId="0" xfId="2" applyFont="1" applyFill="1" applyBorder="1" applyAlignment="1">
      <alignment horizontal="center" vertical="center" wrapText="1"/>
    </xf>
    <xf numFmtId="0" fontId="5" fillId="0" borderId="0" xfId="2" applyFont="1" applyFill="1" applyBorder="1" applyAlignment="1">
      <alignment horizontal="center" vertical="top" wrapText="1"/>
    </xf>
    <xf numFmtId="0" fontId="4" fillId="0" borderId="0" xfId="2" applyFont="1" applyFill="1" applyBorder="1" applyAlignment="1">
      <alignment horizontal="center" vertical="top" wrapText="1"/>
    </xf>
    <xf numFmtId="0" fontId="12" fillId="0" borderId="0" xfId="3" applyFont="1" applyFill="1" applyBorder="1" applyAlignment="1">
      <alignment horizontal="center" vertical="top" wrapText="1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center"/>
    </xf>
  </cellXfs>
  <cellStyles count="4">
    <cellStyle name="20% - Ênfase5" xfId="1" builtinId="46"/>
    <cellStyle name="Normal" xfId="0" builtinId="0"/>
    <cellStyle name="Normal 2" xfId="2" xr:uid="{E5DAEE26-0C3B-425E-90D7-087C4DFE0D5C}"/>
    <cellStyle name="Normal 3" xfId="3" xr:uid="{1F3BF7D3-C5A6-48D3-AFB1-A4CDE436A2E3}"/>
  </cellStyles>
  <dxfs count="2"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Hietograma</a:t>
            </a:r>
          </a:p>
        </c:rich>
      </c:tx>
      <c:layout>
        <c:manualLayout>
          <c:xMode val="edge"/>
          <c:yMode val="edge"/>
          <c:x val="3.6207159765816822E-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Interpolação!$I$4:$I$104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xVal>
          <c:yVal>
            <c:numRef>
              <c:f>'Gerar Hietograma'!$C$10:$C$110</c:f>
              <c:numCache>
                <c:formatCode>General</c:formatCode>
                <c:ptCount val="101"/>
                <c:pt idx="0">
                  <c:v>0</c:v>
                </c:pt>
                <c:pt idx="1">
                  <c:v>16.133333333333333</c:v>
                </c:pt>
                <c:pt idx="2">
                  <c:v>17.333333333333336</c:v>
                </c:pt>
                <c:pt idx="3">
                  <c:v>17.333333333333329</c:v>
                </c:pt>
                <c:pt idx="4">
                  <c:v>16.266666666666666</c:v>
                </c:pt>
                <c:pt idx="5">
                  <c:v>12</c:v>
                </c:pt>
                <c:pt idx="6">
                  <c:v>7.7333333333333343</c:v>
                </c:pt>
                <c:pt idx="7">
                  <c:v>5.7333333333333343</c:v>
                </c:pt>
                <c:pt idx="8">
                  <c:v>4.2666666666666657</c:v>
                </c:pt>
                <c:pt idx="9">
                  <c:v>4</c:v>
                </c:pt>
                <c:pt idx="10">
                  <c:v>2.6666666666666714</c:v>
                </c:pt>
                <c:pt idx="11">
                  <c:v>2.6666666666666572</c:v>
                </c:pt>
                <c:pt idx="12">
                  <c:v>2.6666666666666714</c:v>
                </c:pt>
                <c:pt idx="13">
                  <c:v>2.6666666666666714</c:v>
                </c:pt>
                <c:pt idx="14">
                  <c:v>2</c:v>
                </c:pt>
                <c:pt idx="15">
                  <c:v>1.3333333333333286</c:v>
                </c:pt>
                <c:pt idx="16">
                  <c:v>1.3333333333333286</c:v>
                </c:pt>
                <c:pt idx="17">
                  <c:v>1.3333333333333286</c:v>
                </c:pt>
                <c:pt idx="18">
                  <c:v>2.5333333333333456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C-4DA9-A988-284A5FFB0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511360"/>
        <c:axId val="823515296"/>
      </c:scatterChart>
      <c:valAx>
        <c:axId val="823511360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3515296"/>
        <c:crosses val="autoZero"/>
        <c:crossBetween val="midCat"/>
      </c:valAx>
      <c:valAx>
        <c:axId val="823515296"/>
        <c:scaling>
          <c:orientation val="minMax"/>
          <c:max val="20.333333333333336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351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Hietograma</a:t>
            </a:r>
          </a:p>
        </c:rich>
      </c:tx>
      <c:layout>
        <c:manualLayout>
          <c:xMode val="edge"/>
          <c:yMode val="edge"/>
          <c:x val="3.6207159765816822E-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8105738068810663E-2"/>
          <c:y val="0.13325830193571558"/>
          <c:w val="0.86959550093518578"/>
          <c:h val="0.7647322702146220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Interpolação!$I$4:$I$22</c:f>
              <c:numCache>
                <c:formatCode>General</c:formatCode>
                <c:ptCount val="1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</c:numCache>
            </c:numRef>
          </c:cat>
          <c:val>
            <c:numRef>
              <c:f>Interpolação!$O$4:$O$22</c:f>
              <c:numCache>
                <c:formatCode>General</c:formatCode>
                <c:ptCount val="19"/>
                <c:pt idx="0">
                  <c:v>0</c:v>
                </c:pt>
                <c:pt idx="1">
                  <c:v>16.133333333333333</c:v>
                </c:pt>
                <c:pt idx="2">
                  <c:v>17.333333333333336</c:v>
                </c:pt>
                <c:pt idx="3">
                  <c:v>17.333333333333329</c:v>
                </c:pt>
                <c:pt idx="4">
                  <c:v>16.266666666666666</c:v>
                </c:pt>
                <c:pt idx="5">
                  <c:v>12</c:v>
                </c:pt>
                <c:pt idx="6">
                  <c:v>7.7333333333333343</c:v>
                </c:pt>
                <c:pt idx="7">
                  <c:v>5.7333333333333343</c:v>
                </c:pt>
                <c:pt idx="8">
                  <c:v>4.2666666666666657</c:v>
                </c:pt>
                <c:pt idx="9">
                  <c:v>4</c:v>
                </c:pt>
                <c:pt idx="10">
                  <c:v>2.6666666666666714</c:v>
                </c:pt>
                <c:pt idx="11">
                  <c:v>2.6666666666666572</c:v>
                </c:pt>
                <c:pt idx="12">
                  <c:v>2.6666666666666714</c:v>
                </c:pt>
                <c:pt idx="13">
                  <c:v>2.6666666666666714</c:v>
                </c:pt>
                <c:pt idx="14">
                  <c:v>2</c:v>
                </c:pt>
                <c:pt idx="15">
                  <c:v>1.3333333333333286</c:v>
                </c:pt>
                <c:pt idx="16">
                  <c:v>1.3333333333333286</c:v>
                </c:pt>
                <c:pt idx="17">
                  <c:v>1.3333333333333286</c:v>
                </c:pt>
                <c:pt idx="18">
                  <c:v>2.5333333333333456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C-4DA9-A988-284A5FFB0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23511360"/>
        <c:axId val="823515296"/>
      </c:barChart>
      <c:catAx>
        <c:axId val="82351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3515296"/>
        <c:crosses val="autoZero"/>
        <c:auto val="1"/>
        <c:lblAlgn val="ctr"/>
        <c:lblOffset val="100"/>
        <c:noMultiLvlLbl val="1"/>
      </c:catAx>
      <c:valAx>
        <c:axId val="823515296"/>
        <c:scaling>
          <c:orientation val="minMax"/>
          <c:max val="20.333333333333336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351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Chuva acumulada</a:t>
            </a:r>
          </a:p>
        </c:rich>
      </c:tx>
      <c:layout>
        <c:manualLayout>
          <c:xMode val="edge"/>
          <c:yMode val="edge"/>
          <c:x val="4.1113017667028996E-2"/>
          <c:y val="2.41171469388043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Interpolação!$G$4:$G$24</c:f>
              <c:numCache>
                <c:formatCode>General</c:formatCode>
                <c:ptCount val="2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62.999999999999993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  <c:pt idx="11">
                  <c:v>99.000000000000014</c:v>
                </c:pt>
                <c:pt idx="12">
                  <c:v>108</c:v>
                </c:pt>
                <c:pt idx="13">
                  <c:v>117</c:v>
                </c:pt>
                <c:pt idx="14">
                  <c:v>125.99999999999999</c:v>
                </c:pt>
                <c:pt idx="15">
                  <c:v>135</c:v>
                </c:pt>
                <c:pt idx="16">
                  <c:v>144</c:v>
                </c:pt>
                <c:pt idx="17">
                  <c:v>153</c:v>
                </c:pt>
                <c:pt idx="18">
                  <c:v>162</c:v>
                </c:pt>
                <c:pt idx="19">
                  <c:v>171</c:v>
                </c:pt>
                <c:pt idx="20">
                  <c:v>180</c:v>
                </c:pt>
              </c:numCache>
            </c:numRef>
          </c:xVal>
          <c:yVal>
            <c:numRef>
              <c:f>Interpolação!$H$4:$H$24</c:f>
              <c:numCache>
                <c:formatCode>General</c:formatCode>
                <c:ptCount val="21"/>
                <c:pt idx="0">
                  <c:v>0</c:v>
                </c:pt>
                <c:pt idx="1">
                  <c:v>14.399999999999999</c:v>
                </c:pt>
                <c:pt idx="2">
                  <c:v>30</c:v>
                </c:pt>
                <c:pt idx="3">
                  <c:v>45.6</c:v>
                </c:pt>
                <c:pt idx="4">
                  <c:v>61.199999999999996</c:v>
                </c:pt>
                <c:pt idx="5">
                  <c:v>74.399999999999991</c:v>
                </c:pt>
                <c:pt idx="6">
                  <c:v>82.8</c:v>
                </c:pt>
                <c:pt idx="7">
                  <c:v>88.8</c:v>
                </c:pt>
                <c:pt idx="8">
                  <c:v>93.6</c:v>
                </c:pt>
                <c:pt idx="9">
                  <c:v>97.2</c:v>
                </c:pt>
                <c:pt idx="10">
                  <c:v>100.8</c:v>
                </c:pt>
                <c:pt idx="11">
                  <c:v>103.2</c:v>
                </c:pt>
                <c:pt idx="12">
                  <c:v>105.6</c:v>
                </c:pt>
                <c:pt idx="13">
                  <c:v>108</c:v>
                </c:pt>
                <c:pt idx="14">
                  <c:v>110.39999999999999</c:v>
                </c:pt>
                <c:pt idx="15">
                  <c:v>112.8</c:v>
                </c:pt>
                <c:pt idx="16">
                  <c:v>114</c:v>
                </c:pt>
                <c:pt idx="17">
                  <c:v>115.19999999999999</c:v>
                </c:pt>
                <c:pt idx="18">
                  <c:v>116.39999999999999</c:v>
                </c:pt>
                <c:pt idx="19">
                  <c:v>117.6</c:v>
                </c:pt>
                <c:pt idx="2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35-4369-B0E8-6B8DA2E659B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Interpolação!$I$4:$I$104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xVal>
          <c:yVal>
            <c:numRef>
              <c:f>Interpolação!$N$4:$N$104</c:f>
              <c:numCache>
                <c:formatCode>General</c:formatCode>
                <c:ptCount val="101"/>
                <c:pt idx="0">
                  <c:v>0</c:v>
                </c:pt>
                <c:pt idx="1">
                  <c:v>16.133333333333333</c:v>
                </c:pt>
                <c:pt idx="2">
                  <c:v>33.466666666666669</c:v>
                </c:pt>
                <c:pt idx="3">
                  <c:v>50.8</c:v>
                </c:pt>
                <c:pt idx="4">
                  <c:v>67.066666666666663</c:v>
                </c:pt>
                <c:pt idx="5">
                  <c:v>79.066666666666663</c:v>
                </c:pt>
                <c:pt idx="6">
                  <c:v>86.8</c:v>
                </c:pt>
                <c:pt idx="7">
                  <c:v>92.533333333333331</c:v>
                </c:pt>
                <c:pt idx="8">
                  <c:v>96.8</c:v>
                </c:pt>
                <c:pt idx="9">
                  <c:v>100.8</c:v>
                </c:pt>
                <c:pt idx="10">
                  <c:v>103.46666666666667</c:v>
                </c:pt>
                <c:pt idx="11">
                  <c:v>106.13333333333333</c:v>
                </c:pt>
                <c:pt idx="12">
                  <c:v>108.8</c:v>
                </c:pt>
                <c:pt idx="13">
                  <c:v>111.46666666666667</c:v>
                </c:pt>
                <c:pt idx="14">
                  <c:v>113.46666666666667</c:v>
                </c:pt>
                <c:pt idx="15">
                  <c:v>114.8</c:v>
                </c:pt>
                <c:pt idx="16">
                  <c:v>116.13333333333333</c:v>
                </c:pt>
                <c:pt idx="17">
                  <c:v>117.46666666666665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35-4369-B0E8-6B8DA2E65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77768"/>
        <c:axId val="371079408"/>
      </c:scatterChart>
      <c:valAx>
        <c:axId val="371077768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079408"/>
        <c:crosses val="autoZero"/>
        <c:crossBetween val="midCat"/>
      </c:valAx>
      <c:valAx>
        <c:axId val="371079408"/>
        <c:scaling>
          <c:orientation val="minMax"/>
          <c:max val="123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107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Distribuição chuva - Acumulada Huff 50%</a:t>
            </a:r>
            <a:endParaRPr lang="pt-BR">
              <a:effectLst/>
            </a:endParaRPr>
          </a:p>
          <a:p>
            <a:pPr>
              <a:defRPr/>
            </a:pPr>
            <a:r>
              <a:rPr lang="pt-BR" sz="1800" b="0" i="0" baseline="0">
                <a:effectLst/>
              </a:rPr>
              <a:t>Áreas até 10 milhas quadradas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Ponto!$B$2</c:f>
              <c:strCache>
                <c:ptCount val="1"/>
                <c:pt idx="0">
                  <c:v>1º Quartil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Ponto!$B$3:$B$23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16</c:v>
                </c:pt>
                <c:pt idx="2">
                  <c:v>33</c:v>
                </c:pt>
                <c:pt idx="3">
                  <c:v>43</c:v>
                </c:pt>
                <c:pt idx="4">
                  <c:v>52</c:v>
                </c:pt>
                <c:pt idx="5">
                  <c:v>60</c:v>
                </c:pt>
                <c:pt idx="6">
                  <c:v>66</c:v>
                </c:pt>
                <c:pt idx="7">
                  <c:v>71</c:v>
                </c:pt>
                <c:pt idx="8">
                  <c:v>75</c:v>
                </c:pt>
                <c:pt idx="9">
                  <c:v>79</c:v>
                </c:pt>
                <c:pt idx="10">
                  <c:v>82</c:v>
                </c:pt>
                <c:pt idx="11">
                  <c:v>84</c:v>
                </c:pt>
                <c:pt idx="12">
                  <c:v>86</c:v>
                </c:pt>
                <c:pt idx="13">
                  <c:v>88</c:v>
                </c:pt>
                <c:pt idx="14">
                  <c:v>90</c:v>
                </c:pt>
                <c:pt idx="15">
                  <c:v>92</c:v>
                </c:pt>
                <c:pt idx="16">
                  <c:v>94</c:v>
                </c:pt>
                <c:pt idx="17">
                  <c:v>96</c:v>
                </c:pt>
                <c:pt idx="18">
                  <c:v>97</c:v>
                </c:pt>
                <c:pt idx="19">
                  <c:v>98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1B-43B7-ABD2-A4B8F154A8D8}"/>
            </c:ext>
          </c:extLst>
        </c:ser>
        <c:ser>
          <c:idx val="1"/>
          <c:order val="1"/>
          <c:tx>
            <c:strRef>
              <c:f>Ponto!$C$2</c:f>
              <c:strCache>
                <c:ptCount val="1"/>
                <c:pt idx="0">
                  <c:v>2º Quartil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Ponto!$C$3:$C$23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22</c:v>
                </c:pt>
                <c:pt idx="6">
                  <c:v>29</c:v>
                </c:pt>
                <c:pt idx="7">
                  <c:v>39</c:v>
                </c:pt>
                <c:pt idx="8">
                  <c:v>51</c:v>
                </c:pt>
                <c:pt idx="9">
                  <c:v>62</c:v>
                </c:pt>
                <c:pt idx="10">
                  <c:v>70</c:v>
                </c:pt>
                <c:pt idx="11">
                  <c:v>76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91</c:v>
                </c:pt>
                <c:pt idx="16">
                  <c:v>93</c:v>
                </c:pt>
                <c:pt idx="17">
                  <c:v>95</c:v>
                </c:pt>
                <c:pt idx="18">
                  <c:v>97</c:v>
                </c:pt>
                <c:pt idx="19">
                  <c:v>98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1B-43B7-ABD2-A4B8F154A8D8}"/>
            </c:ext>
          </c:extLst>
        </c:ser>
        <c:ser>
          <c:idx val="2"/>
          <c:order val="2"/>
          <c:tx>
            <c:strRef>
              <c:f>Ponto!$D$2</c:f>
              <c:strCache>
                <c:ptCount val="1"/>
                <c:pt idx="0">
                  <c:v>3º Quartil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Ponto!$D$3:$D$23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19</c:v>
                </c:pt>
                <c:pt idx="7">
                  <c:v>23</c:v>
                </c:pt>
                <c:pt idx="8">
                  <c:v>27</c:v>
                </c:pt>
                <c:pt idx="9">
                  <c:v>32</c:v>
                </c:pt>
                <c:pt idx="10">
                  <c:v>38</c:v>
                </c:pt>
                <c:pt idx="11">
                  <c:v>45</c:v>
                </c:pt>
                <c:pt idx="12">
                  <c:v>57</c:v>
                </c:pt>
                <c:pt idx="13">
                  <c:v>70</c:v>
                </c:pt>
                <c:pt idx="14">
                  <c:v>79</c:v>
                </c:pt>
                <c:pt idx="15">
                  <c:v>85</c:v>
                </c:pt>
                <c:pt idx="16">
                  <c:v>89</c:v>
                </c:pt>
                <c:pt idx="17">
                  <c:v>92</c:v>
                </c:pt>
                <c:pt idx="18">
                  <c:v>95</c:v>
                </c:pt>
                <c:pt idx="19">
                  <c:v>97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1B-43B7-ABD2-A4B8F154A8D8}"/>
            </c:ext>
          </c:extLst>
        </c:ser>
        <c:ser>
          <c:idx val="3"/>
          <c:order val="3"/>
          <c:tx>
            <c:strRef>
              <c:f>Ponto!$E$2</c:f>
              <c:strCache>
                <c:ptCount val="1"/>
                <c:pt idx="0">
                  <c:v>4º Quartil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Ponto!$E$3:$E$23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28</c:v>
                </c:pt>
                <c:pt idx="11">
                  <c:v>32</c:v>
                </c:pt>
                <c:pt idx="12">
                  <c:v>35</c:v>
                </c:pt>
                <c:pt idx="13">
                  <c:v>39</c:v>
                </c:pt>
                <c:pt idx="14">
                  <c:v>45</c:v>
                </c:pt>
                <c:pt idx="15">
                  <c:v>51</c:v>
                </c:pt>
                <c:pt idx="16">
                  <c:v>59</c:v>
                </c:pt>
                <c:pt idx="17">
                  <c:v>72</c:v>
                </c:pt>
                <c:pt idx="18">
                  <c:v>84</c:v>
                </c:pt>
                <c:pt idx="19">
                  <c:v>92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1B-43B7-ABD2-A4B8F154A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014592"/>
        <c:axId val="778334440"/>
      </c:scatterChart>
      <c:valAx>
        <c:axId val="7860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8334440"/>
        <c:crosses val="autoZero"/>
        <c:crossBetween val="midCat"/>
      </c:valAx>
      <c:valAx>
        <c:axId val="77833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01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Blocos de</a:t>
            </a:r>
            <a:r>
              <a:rPr lang="pt-BR" baseline="0"/>
              <a:t> Precipitação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Ponto!$B$2</c:f>
              <c:strCache>
                <c:ptCount val="1"/>
                <c:pt idx="0">
                  <c:v>1º Quartil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Ponto!$F$3:$F$23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16</c:v>
                </c:pt>
                <c:pt idx="2">
                  <c:v>17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0C-4DF3-8A2F-C3B3E034D2C4}"/>
            </c:ext>
          </c:extLst>
        </c:ser>
        <c:ser>
          <c:idx val="2"/>
          <c:order val="1"/>
          <c:tx>
            <c:strRef>
              <c:f>Ponto!$C$2</c:f>
              <c:strCache>
                <c:ptCount val="1"/>
                <c:pt idx="0">
                  <c:v>2º Quartil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Ponto!$G$3:$G$23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10</c:v>
                </c:pt>
                <c:pt idx="8">
                  <c:v>12</c:v>
                </c:pt>
                <c:pt idx="9">
                  <c:v>11</c:v>
                </c:pt>
                <c:pt idx="10">
                  <c:v>8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0C-4DF3-8A2F-C3B3E034D2C4}"/>
            </c:ext>
          </c:extLst>
        </c:ser>
        <c:ser>
          <c:idx val="0"/>
          <c:order val="2"/>
          <c:tx>
            <c:strRef>
              <c:f>Ponto!$D$2</c:f>
              <c:strCache>
                <c:ptCount val="1"/>
                <c:pt idx="0">
                  <c:v>3º Quartil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Ponto!$H$3:$H$23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12</c:v>
                </c:pt>
                <c:pt idx="13">
                  <c:v>13</c:v>
                </c:pt>
                <c:pt idx="14">
                  <c:v>9</c:v>
                </c:pt>
                <c:pt idx="15">
                  <c:v>6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0C-4DF3-8A2F-C3B3E034D2C4}"/>
            </c:ext>
          </c:extLst>
        </c:ser>
        <c:ser>
          <c:idx val="3"/>
          <c:order val="3"/>
          <c:tx>
            <c:strRef>
              <c:f>Ponto!$E$2</c:f>
              <c:strCache>
                <c:ptCount val="1"/>
                <c:pt idx="0">
                  <c:v>4º Quartil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Ponto!$I$3:$I$23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13</c:v>
                </c:pt>
                <c:pt idx="18">
                  <c:v>12</c:v>
                </c:pt>
                <c:pt idx="19">
                  <c:v>8</c:v>
                </c:pt>
                <c:pt idx="2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E0C-4DF3-8A2F-C3B3E034D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714922312"/>
        <c:axId val="714920016"/>
      </c:barChart>
      <c:catAx>
        <c:axId val="71492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920016"/>
        <c:crosses val="autoZero"/>
        <c:auto val="1"/>
        <c:lblAlgn val="ctr"/>
        <c:lblOffset val="100"/>
        <c:noMultiLvlLbl val="0"/>
      </c:catAx>
      <c:valAx>
        <c:axId val="71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922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 chuva - Acumulada Huff 50%</a:t>
            </a:r>
          </a:p>
          <a:p>
            <a:pPr>
              <a:defRPr/>
            </a:pPr>
            <a:r>
              <a:rPr lang="pt-BR"/>
              <a:t>Áreas</a:t>
            </a:r>
            <a:r>
              <a:rPr lang="pt-BR" baseline="0"/>
              <a:t> de 10 a 50 milhas quadradas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A10a50!$B$3</c:f>
              <c:strCache>
                <c:ptCount val="1"/>
                <c:pt idx="0">
                  <c:v>1º Quartil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A10a50!$A$4:$A$24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A10a50!$B$4:$B$24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12</c:v>
                </c:pt>
                <c:pt idx="2">
                  <c:v>25</c:v>
                </c:pt>
                <c:pt idx="3">
                  <c:v>38</c:v>
                </c:pt>
                <c:pt idx="4">
                  <c:v>51</c:v>
                </c:pt>
                <c:pt idx="5">
                  <c:v>62</c:v>
                </c:pt>
                <c:pt idx="6">
                  <c:v>69</c:v>
                </c:pt>
                <c:pt idx="7">
                  <c:v>74</c:v>
                </c:pt>
                <c:pt idx="8">
                  <c:v>78</c:v>
                </c:pt>
                <c:pt idx="9">
                  <c:v>81</c:v>
                </c:pt>
                <c:pt idx="10">
                  <c:v>84</c:v>
                </c:pt>
                <c:pt idx="11">
                  <c:v>86</c:v>
                </c:pt>
                <c:pt idx="12">
                  <c:v>88</c:v>
                </c:pt>
                <c:pt idx="13">
                  <c:v>90</c:v>
                </c:pt>
                <c:pt idx="14">
                  <c:v>92</c:v>
                </c:pt>
                <c:pt idx="15">
                  <c:v>94</c:v>
                </c:pt>
                <c:pt idx="16">
                  <c:v>95</c:v>
                </c:pt>
                <c:pt idx="17">
                  <c:v>96</c:v>
                </c:pt>
                <c:pt idx="18">
                  <c:v>97</c:v>
                </c:pt>
                <c:pt idx="19">
                  <c:v>98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1B-4E85-894B-9D41FEA9E622}"/>
            </c:ext>
          </c:extLst>
        </c:ser>
        <c:ser>
          <c:idx val="1"/>
          <c:order val="1"/>
          <c:tx>
            <c:strRef>
              <c:f>A10a50!$C$3</c:f>
              <c:strCache>
                <c:ptCount val="1"/>
                <c:pt idx="0">
                  <c:v>2º Quartil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A10a50!$A$4:$A$24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A10a50!$C$4:$C$24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10</c:v>
                </c:pt>
                <c:pt idx="4">
                  <c:v>14</c:v>
                </c:pt>
                <c:pt idx="5">
                  <c:v>21</c:v>
                </c:pt>
                <c:pt idx="6">
                  <c:v>30</c:v>
                </c:pt>
                <c:pt idx="7">
                  <c:v>40</c:v>
                </c:pt>
                <c:pt idx="8">
                  <c:v>52</c:v>
                </c:pt>
                <c:pt idx="9">
                  <c:v>63</c:v>
                </c:pt>
                <c:pt idx="10">
                  <c:v>72</c:v>
                </c:pt>
                <c:pt idx="11">
                  <c:v>78</c:v>
                </c:pt>
                <c:pt idx="12">
                  <c:v>83</c:v>
                </c:pt>
                <c:pt idx="13">
                  <c:v>87</c:v>
                </c:pt>
                <c:pt idx="14">
                  <c:v>90</c:v>
                </c:pt>
                <c:pt idx="15">
                  <c:v>92</c:v>
                </c:pt>
                <c:pt idx="16">
                  <c:v>94</c:v>
                </c:pt>
                <c:pt idx="17">
                  <c:v>96</c:v>
                </c:pt>
                <c:pt idx="18">
                  <c:v>97</c:v>
                </c:pt>
                <c:pt idx="19">
                  <c:v>98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1B-4E85-894B-9D41FEA9E622}"/>
            </c:ext>
          </c:extLst>
        </c:ser>
        <c:ser>
          <c:idx val="2"/>
          <c:order val="2"/>
          <c:tx>
            <c:strRef>
              <c:f>A10a50!$D$3</c:f>
              <c:strCache>
                <c:ptCount val="1"/>
                <c:pt idx="0">
                  <c:v>3º Quartil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A10a50!$A$4:$A$24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A10a50!$D$4:$D$24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8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20</c:v>
                </c:pt>
                <c:pt idx="8">
                  <c:v>23</c:v>
                </c:pt>
                <c:pt idx="9">
                  <c:v>27</c:v>
                </c:pt>
                <c:pt idx="10">
                  <c:v>33</c:v>
                </c:pt>
                <c:pt idx="11">
                  <c:v>42</c:v>
                </c:pt>
                <c:pt idx="12">
                  <c:v>55</c:v>
                </c:pt>
                <c:pt idx="13">
                  <c:v>69</c:v>
                </c:pt>
                <c:pt idx="14">
                  <c:v>79</c:v>
                </c:pt>
                <c:pt idx="15">
                  <c:v>86</c:v>
                </c:pt>
                <c:pt idx="16">
                  <c:v>91</c:v>
                </c:pt>
                <c:pt idx="17">
                  <c:v>94</c:v>
                </c:pt>
                <c:pt idx="18">
                  <c:v>96</c:v>
                </c:pt>
                <c:pt idx="19">
                  <c:v>98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1B-4E85-894B-9D41FEA9E622}"/>
            </c:ext>
          </c:extLst>
        </c:ser>
        <c:ser>
          <c:idx val="3"/>
          <c:order val="3"/>
          <c:tx>
            <c:strRef>
              <c:f>A10a50!$E$3</c:f>
              <c:strCache>
                <c:ptCount val="1"/>
                <c:pt idx="0">
                  <c:v>4º Quartil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A10a50!$A$4:$A$24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A10a50!$E$4:$E$24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18</c:v>
                </c:pt>
                <c:pt idx="9">
                  <c:v>21</c:v>
                </c:pt>
                <c:pt idx="10">
                  <c:v>24</c:v>
                </c:pt>
                <c:pt idx="11">
                  <c:v>27</c:v>
                </c:pt>
                <c:pt idx="12">
                  <c:v>30</c:v>
                </c:pt>
                <c:pt idx="13">
                  <c:v>34</c:v>
                </c:pt>
                <c:pt idx="14">
                  <c:v>40</c:v>
                </c:pt>
                <c:pt idx="15">
                  <c:v>47</c:v>
                </c:pt>
                <c:pt idx="16">
                  <c:v>57</c:v>
                </c:pt>
                <c:pt idx="17">
                  <c:v>74</c:v>
                </c:pt>
                <c:pt idx="18">
                  <c:v>88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1B-4E85-894B-9D41FEA9E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332392"/>
        <c:axId val="252330752"/>
      </c:scatterChart>
      <c:valAx>
        <c:axId val="25233239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330752"/>
        <c:crosses val="autoZero"/>
        <c:crossBetween val="midCat"/>
      </c:valAx>
      <c:valAx>
        <c:axId val="25233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332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Blocos de</a:t>
            </a:r>
            <a:r>
              <a:rPr lang="pt-BR" baseline="0"/>
              <a:t> Precipitação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A10a50!$B$3</c:f>
              <c:strCache>
                <c:ptCount val="1"/>
                <c:pt idx="0">
                  <c:v>1º Quartil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A10a50!$F$4:$F$24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12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11</c:v>
                </c:pt>
                <c:pt idx="6">
                  <c:v>7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6C-4F25-AB94-EB24E09DABE5}"/>
            </c:ext>
          </c:extLst>
        </c:ser>
        <c:ser>
          <c:idx val="2"/>
          <c:order val="1"/>
          <c:tx>
            <c:strRef>
              <c:f>A10a50!$C$3</c:f>
              <c:strCache>
                <c:ptCount val="1"/>
                <c:pt idx="0">
                  <c:v>2º Quartil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A10a50!$G$4:$G$24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7</c:v>
                </c:pt>
                <c:pt idx="6">
                  <c:v>9</c:v>
                </c:pt>
                <c:pt idx="7">
                  <c:v>10</c:v>
                </c:pt>
                <c:pt idx="8">
                  <c:v>12</c:v>
                </c:pt>
                <c:pt idx="9">
                  <c:v>11</c:v>
                </c:pt>
                <c:pt idx="10">
                  <c:v>9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C-4F25-AB94-EB24E09DABE5}"/>
            </c:ext>
          </c:extLst>
        </c:ser>
        <c:ser>
          <c:idx val="0"/>
          <c:order val="2"/>
          <c:tx>
            <c:strRef>
              <c:f>A10a50!$D$3</c:f>
              <c:strCache>
                <c:ptCount val="1"/>
                <c:pt idx="0">
                  <c:v>3º Quartil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A10a50!$H$4:$H$24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13</c:v>
                </c:pt>
                <c:pt idx="13">
                  <c:v>14</c:v>
                </c:pt>
                <c:pt idx="14">
                  <c:v>10</c:v>
                </c:pt>
                <c:pt idx="15">
                  <c:v>7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6C-4F25-AB94-EB24E09DABE5}"/>
            </c:ext>
          </c:extLst>
        </c:ser>
        <c:ser>
          <c:idx val="3"/>
          <c:order val="3"/>
          <c:tx>
            <c:strRef>
              <c:f>A10a50!$E$3</c:f>
              <c:strCache>
                <c:ptCount val="1"/>
                <c:pt idx="0">
                  <c:v>4º Quartil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Ponto!$A$3:$A$23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 formatCode="#,##0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A10a50!$I$4:$I$24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6</c:v>
                </c:pt>
                <c:pt idx="15">
                  <c:v>7</c:v>
                </c:pt>
                <c:pt idx="16">
                  <c:v>10</c:v>
                </c:pt>
                <c:pt idx="17">
                  <c:v>17</c:v>
                </c:pt>
                <c:pt idx="18">
                  <c:v>14</c:v>
                </c:pt>
                <c:pt idx="19">
                  <c:v>7</c:v>
                </c:pt>
                <c:pt idx="2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6C-4F25-AB94-EB24E09DA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714922312"/>
        <c:axId val="714920016"/>
      </c:barChart>
      <c:catAx>
        <c:axId val="714922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920016"/>
        <c:crosses val="autoZero"/>
        <c:auto val="1"/>
        <c:lblAlgn val="ctr"/>
        <c:lblOffset val="100"/>
        <c:noMultiLvlLbl val="0"/>
      </c:catAx>
      <c:valAx>
        <c:axId val="7149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922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Distribuição chuva - Acumulada Huff 50%</a:t>
            </a:r>
            <a:endParaRPr lang="pt-BR">
              <a:effectLst/>
            </a:endParaRPr>
          </a:p>
          <a:p>
            <a:pPr>
              <a:defRPr/>
            </a:pPr>
            <a:r>
              <a:rPr lang="pt-BR" sz="1800" b="0" i="0" baseline="0">
                <a:effectLst/>
              </a:rPr>
              <a:t>Áreas de 50 a 400 milhas quadradas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A50a400!$B$3</c:f>
              <c:strCache>
                <c:ptCount val="1"/>
                <c:pt idx="0">
                  <c:v>1º Quartil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A50a400!$B$4:$B$24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34</c:v>
                </c:pt>
                <c:pt idx="4">
                  <c:v>50</c:v>
                </c:pt>
                <c:pt idx="5">
                  <c:v>63</c:v>
                </c:pt>
                <c:pt idx="6">
                  <c:v>71</c:v>
                </c:pt>
                <c:pt idx="7">
                  <c:v>76</c:v>
                </c:pt>
                <c:pt idx="8">
                  <c:v>80</c:v>
                </c:pt>
                <c:pt idx="9">
                  <c:v>83</c:v>
                </c:pt>
                <c:pt idx="10">
                  <c:v>86</c:v>
                </c:pt>
                <c:pt idx="11">
                  <c:v>88</c:v>
                </c:pt>
                <c:pt idx="12">
                  <c:v>90</c:v>
                </c:pt>
                <c:pt idx="13">
                  <c:v>92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E2-4455-977E-7391C096D832}"/>
            </c:ext>
          </c:extLst>
        </c:ser>
        <c:ser>
          <c:idx val="1"/>
          <c:order val="1"/>
          <c:tx>
            <c:strRef>
              <c:f>A50a400!$C$3</c:f>
              <c:strCache>
                <c:ptCount val="1"/>
                <c:pt idx="0">
                  <c:v>2º Quartil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A50a400!$C$4:$C$24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21</c:v>
                </c:pt>
                <c:pt idx="6">
                  <c:v>31</c:v>
                </c:pt>
                <c:pt idx="7">
                  <c:v>42</c:v>
                </c:pt>
                <c:pt idx="8">
                  <c:v>53</c:v>
                </c:pt>
                <c:pt idx="9">
                  <c:v>64</c:v>
                </c:pt>
                <c:pt idx="10">
                  <c:v>73</c:v>
                </c:pt>
                <c:pt idx="11">
                  <c:v>80</c:v>
                </c:pt>
                <c:pt idx="12">
                  <c:v>86</c:v>
                </c:pt>
                <c:pt idx="13">
                  <c:v>89</c:v>
                </c:pt>
                <c:pt idx="14">
                  <c:v>92</c:v>
                </c:pt>
                <c:pt idx="15">
                  <c:v>94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E2-4455-977E-7391C096D832}"/>
            </c:ext>
          </c:extLst>
        </c:ser>
        <c:ser>
          <c:idx val="2"/>
          <c:order val="2"/>
          <c:tx>
            <c:strRef>
              <c:f>A50a400!$D$3</c:f>
              <c:strCache>
                <c:ptCount val="1"/>
                <c:pt idx="0">
                  <c:v>3º Quartil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A50a400!$D$4:$D$24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19</c:v>
                </c:pt>
                <c:pt idx="9">
                  <c:v>22</c:v>
                </c:pt>
                <c:pt idx="10">
                  <c:v>29</c:v>
                </c:pt>
                <c:pt idx="11">
                  <c:v>39</c:v>
                </c:pt>
                <c:pt idx="12">
                  <c:v>54</c:v>
                </c:pt>
                <c:pt idx="13">
                  <c:v>68</c:v>
                </c:pt>
                <c:pt idx="14">
                  <c:v>79</c:v>
                </c:pt>
                <c:pt idx="15">
                  <c:v>87</c:v>
                </c:pt>
                <c:pt idx="16">
                  <c:v>92</c:v>
                </c:pt>
                <c:pt idx="17">
                  <c:v>95</c:v>
                </c:pt>
                <c:pt idx="18">
                  <c:v>97</c:v>
                </c:pt>
                <c:pt idx="19">
                  <c:v>99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E2-4455-977E-7391C096D832}"/>
            </c:ext>
          </c:extLst>
        </c:ser>
        <c:ser>
          <c:idx val="3"/>
          <c:order val="3"/>
          <c:tx>
            <c:strRef>
              <c:f>A50a400!$E$3</c:f>
              <c:strCache>
                <c:ptCount val="1"/>
                <c:pt idx="0">
                  <c:v>4º Quartil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A50a400!$E$4:$E$24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16</c:v>
                </c:pt>
                <c:pt idx="10">
                  <c:v>19</c:v>
                </c:pt>
                <c:pt idx="11">
                  <c:v>21</c:v>
                </c:pt>
                <c:pt idx="12">
                  <c:v>25</c:v>
                </c:pt>
                <c:pt idx="13">
                  <c:v>29</c:v>
                </c:pt>
                <c:pt idx="14">
                  <c:v>35</c:v>
                </c:pt>
                <c:pt idx="15">
                  <c:v>43</c:v>
                </c:pt>
                <c:pt idx="16">
                  <c:v>54</c:v>
                </c:pt>
                <c:pt idx="17">
                  <c:v>75</c:v>
                </c:pt>
                <c:pt idx="18">
                  <c:v>92</c:v>
                </c:pt>
                <c:pt idx="19">
                  <c:v>97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E2-4455-977E-7391C096D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291504"/>
        <c:axId val="773909592"/>
      </c:scatterChart>
      <c:valAx>
        <c:axId val="7082915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3909592"/>
        <c:crosses val="autoZero"/>
        <c:crossBetween val="midCat"/>
      </c:valAx>
      <c:valAx>
        <c:axId val="77390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829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Distribuição chuva - Acumulada 1º Quartil</a:t>
            </a:r>
          </a:p>
          <a:p>
            <a:pPr>
              <a:defRPr/>
            </a:pPr>
            <a:r>
              <a:rPr lang="pt-BR" sz="1800" b="0" i="0" baseline="0">
                <a:effectLst/>
              </a:rPr>
              <a:t>Probabilidades de 10, 50 e 90 %</a:t>
            </a:r>
            <a:endParaRPr lang="pt-BR">
              <a:effectLst/>
            </a:endParaRPr>
          </a:p>
          <a:p>
            <a:pPr>
              <a:defRPr/>
            </a:pPr>
            <a:r>
              <a:rPr lang="pt-BR" sz="1800" b="0" i="0" baseline="0">
                <a:effectLst/>
              </a:rPr>
              <a:t>Áreas de 50 a 400 milhas quadradas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A50a400!$B$29</c:f>
              <c:strCache>
                <c:ptCount val="1"/>
                <c:pt idx="0">
                  <c:v>10%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A50a400!$A$30:$A$50</c:f>
              <c:numCache>
                <c:formatCode>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A50a400!$B$30:$B$50</c:f>
              <c:numCache>
                <c:formatCode>0</c:formatCode>
                <c:ptCount val="21"/>
                <c:pt idx="0">
                  <c:v>0</c:v>
                </c:pt>
                <c:pt idx="1">
                  <c:v>24</c:v>
                </c:pt>
                <c:pt idx="2">
                  <c:v>50</c:v>
                </c:pt>
                <c:pt idx="3">
                  <c:v>71</c:v>
                </c:pt>
                <c:pt idx="4">
                  <c:v>84</c:v>
                </c:pt>
                <c:pt idx="5">
                  <c:v>89</c:v>
                </c:pt>
                <c:pt idx="6">
                  <c:v>92</c:v>
                </c:pt>
                <c:pt idx="7">
                  <c:v>94</c:v>
                </c:pt>
                <c:pt idx="8">
                  <c:v>95</c:v>
                </c:pt>
                <c:pt idx="9">
                  <c:v>96</c:v>
                </c:pt>
                <c:pt idx="10">
                  <c:v>97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41-445F-AC10-8C6E97B19F7F}"/>
            </c:ext>
          </c:extLst>
        </c:ser>
        <c:ser>
          <c:idx val="1"/>
          <c:order val="1"/>
          <c:tx>
            <c:strRef>
              <c:f>A50a400!$C$29</c:f>
              <c:strCache>
                <c:ptCount val="1"/>
                <c:pt idx="0">
                  <c:v>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A50a400!$A$30:$A$50</c:f>
              <c:numCache>
                <c:formatCode>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A50a400!$C$30:$C$50</c:f>
              <c:numCache>
                <c:formatCode>0</c:formatCode>
                <c:ptCount val="21"/>
                <c:pt idx="0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34</c:v>
                </c:pt>
                <c:pt idx="4">
                  <c:v>50</c:v>
                </c:pt>
                <c:pt idx="5">
                  <c:v>63</c:v>
                </c:pt>
                <c:pt idx="6">
                  <c:v>71</c:v>
                </c:pt>
                <c:pt idx="7">
                  <c:v>76</c:v>
                </c:pt>
                <c:pt idx="8">
                  <c:v>80</c:v>
                </c:pt>
                <c:pt idx="9">
                  <c:v>83</c:v>
                </c:pt>
                <c:pt idx="10">
                  <c:v>86</c:v>
                </c:pt>
                <c:pt idx="11">
                  <c:v>88</c:v>
                </c:pt>
                <c:pt idx="12">
                  <c:v>90</c:v>
                </c:pt>
                <c:pt idx="13">
                  <c:v>92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98</c:v>
                </c:pt>
                <c:pt idx="19">
                  <c:v>99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41-445F-AC10-8C6E97B19F7F}"/>
            </c:ext>
          </c:extLst>
        </c:ser>
        <c:ser>
          <c:idx val="2"/>
          <c:order val="2"/>
          <c:tx>
            <c:strRef>
              <c:f>A50a400!$D$29</c:f>
              <c:strCache>
                <c:ptCount val="1"/>
                <c:pt idx="0">
                  <c:v>90%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A50a400!$A$30:$A$50</c:f>
              <c:numCache>
                <c:formatCode>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A50a400!$D$30:$D$50</c:f>
              <c:numCache>
                <c:formatCode>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13</c:v>
                </c:pt>
                <c:pt idx="4">
                  <c:v>28</c:v>
                </c:pt>
                <c:pt idx="5">
                  <c:v>39</c:v>
                </c:pt>
                <c:pt idx="6">
                  <c:v>46</c:v>
                </c:pt>
                <c:pt idx="7">
                  <c:v>49</c:v>
                </c:pt>
                <c:pt idx="8">
                  <c:v>52</c:v>
                </c:pt>
                <c:pt idx="9">
                  <c:v>55</c:v>
                </c:pt>
                <c:pt idx="10">
                  <c:v>57</c:v>
                </c:pt>
                <c:pt idx="11">
                  <c:v>60</c:v>
                </c:pt>
                <c:pt idx="12">
                  <c:v>63</c:v>
                </c:pt>
                <c:pt idx="13">
                  <c:v>67</c:v>
                </c:pt>
                <c:pt idx="14">
                  <c:v>72</c:v>
                </c:pt>
                <c:pt idx="15">
                  <c:v>76</c:v>
                </c:pt>
                <c:pt idx="16">
                  <c:v>82</c:v>
                </c:pt>
                <c:pt idx="17">
                  <c:v>89</c:v>
                </c:pt>
                <c:pt idx="18">
                  <c:v>94</c:v>
                </c:pt>
                <c:pt idx="19">
                  <c:v>97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41-445F-AC10-8C6E97B19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792096"/>
        <c:axId val="822787832"/>
      </c:scatterChart>
      <c:valAx>
        <c:axId val="82279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787832"/>
        <c:crosses val="autoZero"/>
        <c:crossBetween val="midCat"/>
      </c:valAx>
      <c:valAx>
        <c:axId val="82278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279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Blocos de Precipitação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A50a400!$B$3</c:f>
              <c:strCache>
                <c:ptCount val="1"/>
                <c:pt idx="0">
                  <c:v>1º Quartil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A50a400!$F$4:$F$24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17</c:v>
                </c:pt>
                <c:pt idx="4">
                  <c:v>16</c:v>
                </c:pt>
                <c:pt idx="5">
                  <c:v>13</c:v>
                </c:pt>
                <c:pt idx="6">
                  <c:v>8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43-47B9-ADC8-5C1BA58FB387}"/>
            </c:ext>
          </c:extLst>
        </c:ser>
        <c:ser>
          <c:idx val="1"/>
          <c:order val="1"/>
          <c:tx>
            <c:strRef>
              <c:f>A50a400!$C$3</c:f>
              <c:strCache>
                <c:ptCount val="1"/>
                <c:pt idx="0">
                  <c:v>2º Quartil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A50a400!$G$4:$G$24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9</c:v>
                </c:pt>
                <c:pt idx="11">
                  <c:v>7</c:v>
                </c:pt>
                <c:pt idx="12">
                  <c:v>6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43-47B9-ADC8-5C1BA58FB387}"/>
            </c:ext>
          </c:extLst>
        </c:ser>
        <c:ser>
          <c:idx val="2"/>
          <c:order val="2"/>
          <c:tx>
            <c:strRef>
              <c:f>A50a400!$D$3</c:f>
              <c:strCache>
                <c:ptCount val="1"/>
                <c:pt idx="0">
                  <c:v>3º Quartil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A50a400!$H$4:$H$24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10</c:v>
                </c:pt>
                <c:pt idx="12">
                  <c:v>15</c:v>
                </c:pt>
                <c:pt idx="13">
                  <c:v>14</c:v>
                </c:pt>
                <c:pt idx="14">
                  <c:v>11</c:v>
                </c:pt>
                <c:pt idx="15">
                  <c:v>8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43-47B9-ADC8-5C1BA58FB387}"/>
            </c:ext>
          </c:extLst>
        </c:ser>
        <c:ser>
          <c:idx val="3"/>
          <c:order val="3"/>
          <c:tx>
            <c:strRef>
              <c:f>A50a400!$E$3</c:f>
              <c:strCache>
                <c:ptCount val="1"/>
                <c:pt idx="0">
                  <c:v>4º Quartil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A50a400!$A$4:$A$24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A50a400!$I$4:$I$24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8</c:v>
                </c:pt>
                <c:pt idx="16">
                  <c:v>11</c:v>
                </c:pt>
                <c:pt idx="17">
                  <c:v>21</c:v>
                </c:pt>
                <c:pt idx="18">
                  <c:v>17</c:v>
                </c:pt>
                <c:pt idx="19">
                  <c:v>5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43-47B9-ADC8-5C1BA58FB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0899056"/>
        <c:axId val="710902992"/>
      </c:barChart>
      <c:catAx>
        <c:axId val="71089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0902992"/>
        <c:crosses val="autoZero"/>
        <c:auto val="1"/>
        <c:lblAlgn val="ctr"/>
        <c:lblOffset val="100"/>
        <c:noMultiLvlLbl val="0"/>
      </c:catAx>
      <c:valAx>
        <c:axId val="71090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089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Blocos de Precipitação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A50a400!$B$29</c:f>
              <c:strCache>
                <c:ptCount val="1"/>
                <c:pt idx="0">
                  <c:v>10%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A50a400!$A$30:$A$50</c:f>
              <c:numCache>
                <c:formatCode>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A50a400!$E$30:$E$50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24</c:v>
                </c:pt>
                <c:pt idx="2">
                  <c:v>26</c:v>
                </c:pt>
                <c:pt idx="3">
                  <c:v>21</c:v>
                </c:pt>
                <c:pt idx="4">
                  <c:v>13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2-42A8-9170-3C0D0B22E135}"/>
            </c:ext>
          </c:extLst>
        </c:ser>
        <c:ser>
          <c:idx val="1"/>
          <c:order val="1"/>
          <c:tx>
            <c:strRef>
              <c:f>A50a400!$C$29</c:f>
              <c:strCache>
                <c:ptCount val="1"/>
                <c:pt idx="0">
                  <c:v>50%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A50a400!$A$30:$A$50</c:f>
              <c:numCache>
                <c:formatCode>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A50a400!$F$30:$F$50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17</c:v>
                </c:pt>
                <c:pt idx="4">
                  <c:v>16</c:v>
                </c:pt>
                <c:pt idx="5">
                  <c:v>13</c:v>
                </c:pt>
                <c:pt idx="6">
                  <c:v>8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32-42A8-9170-3C0D0B22E135}"/>
            </c:ext>
          </c:extLst>
        </c:ser>
        <c:ser>
          <c:idx val="2"/>
          <c:order val="2"/>
          <c:tx>
            <c:strRef>
              <c:f>A50a400!$D$29</c:f>
              <c:strCache>
                <c:ptCount val="1"/>
                <c:pt idx="0">
                  <c:v>90%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A50a400!$A$30:$A$50</c:f>
              <c:numCache>
                <c:formatCode>0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A50a400!$G$30:$G$50</c:f>
              <c:numCache>
                <c:formatCode>0</c:formatCode>
                <c:ptCount val="21"/>
                <c:pt idx="0" formatCode="General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9</c:v>
                </c:pt>
                <c:pt idx="4">
                  <c:v>15</c:v>
                </c:pt>
                <c:pt idx="5">
                  <c:v>11</c:v>
                </c:pt>
                <c:pt idx="6">
                  <c:v>7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6</c:v>
                </c:pt>
                <c:pt idx="17">
                  <c:v>7</c:v>
                </c:pt>
                <c:pt idx="18">
                  <c:v>5</c:v>
                </c:pt>
                <c:pt idx="19">
                  <c:v>3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32-42A8-9170-3C0D0B22E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067320"/>
        <c:axId val="701062728"/>
      </c:barChart>
      <c:catAx>
        <c:axId val="70106732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062728"/>
        <c:crosses val="autoZero"/>
        <c:auto val="1"/>
        <c:lblAlgn val="ctr"/>
        <c:lblOffset val="100"/>
        <c:noMultiLvlLbl val="0"/>
      </c:catAx>
      <c:valAx>
        <c:axId val="70106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067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Experimento Huff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Experimento!$D$6:$D$15</c:f>
              <c:numCache>
                <c:formatCode>General</c:formatCode>
                <c:ptCount val="10"/>
                <c:pt idx="0">
                  <c:v>0</c:v>
                </c:pt>
                <c:pt idx="1">
                  <c:v>0.1111111111111111</c:v>
                </c:pt>
                <c:pt idx="2">
                  <c:v>0.22222222222222221</c:v>
                </c:pt>
                <c:pt idx="3">
                  <c:v>0.33333333333333331</c:v>
                </c:pt>
                <c:pt idx="4">
                  <c:v>0.44444444444444442</c:v>
                </c:pt>
                <c:pt idx="5">
                  <c:v>0.55555555555555558</c:v>
                </c:pt>
                <c:pt idx="6">
                  <c:v>0.66666666666666663</c:v>
                </c:pt>
                <c:pt idx="7">
                  <c:v>0.77777777777777779</c:v>
                </c:pt>
                <c:pt idx="8">
                  <c:v>0.88888888888888884</c:v>
                </c:pt>
                <c:pt idx="9">
                  <c:v>1</c:v>
                </c:pt>
              </c:numCache>
            </c:numRef>
          </c:xVal>
          <c:yVal>
            <c:numRef>
              <c:f>Experimento!$G$6:$G$15</c:f>
              <c:numCache>
                <c:formatCode>General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0.3</c:v>
                </c:pt>
                <c:pt idx="3">
                  <c:v>0.35</c:v>
                </c:pt>
                <c:pt idx="4">
                  <c:v>0.5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5D-46D1-BCC1-624420893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874120"/>
        <c:axId val="801871496"/>
      </c:scatterChart>
      <c:valAx>
        <c:axId val="8018741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871496"/>
        <c:crosses val="autoZero"/>
        <c:crossBetween val="midCat"/>
      </c:valAx>
      <c:valAx>
        <c:axId val="801871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874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Experimento Huff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Experimento!$D$6:$D$15</c:f>
              <c:numCache>
                <c:formatCode>General</c:formatCode>
                <c:ptCount val="10"/>
                <c:pt idx="0">
                  <c:v>0</c:v>
                </c:pt>
                <c:pt idx="1">
                  <c:v>0.1111111111111111</c:v>
                </c:pt>
                <c:pt idx="2">
                  <c:v>0.22222222222222221</c:v>
                </c:pt>
                <c:pt idx="3">
                  <c:v>0.33333333333333331</c:v>
                </c:pt>
                <c:pt idx="4">
                  <c:v>0.44444444444444442</c:v>
                </c:pt>
                <c:pt idx="5">
                  <c:v>0.55555555555555558</c:v>
                </c:pt>
                <c:pt idx="6">
                  <c:v>0.66666666666666663</c:v>
                </c:pt>
                <c:pt idx="7">
                  <c:v>0.77777777777777779</c:v>
                </c:pt>
                <c:pt idx="8">
                  <c:v>0.88888888888888884</c:v>
                </c:pt>
                <c:pt idx="9">
                  <c:v>1</c:v>
                </c:pt>
              </c:numCache>
            </c:numRef>
          </c:xVal>
          <c:yVal>
            <c:numRef>
              <c:f>Experimento!$G$6:$G$15</c:f>
              <c:numCache>
                <c:formatCode>General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0.3</c:v>
                </c:pt>
                <c:pt idx="3">
                  <c:v>0.35</c:v>
                </c:pt>
                <c:pt idx="4">
                  <c:v>0.5</c:v>
                </c:pt>
                <c:pt idx="5">
                  <c:v>0.7</c:v>
                </c:pt>
                <c:pt idx="6">
                  <c:v>0.8</c:v>
                </c:pt>
                <c:pt idx="7">
                  <c:v>0.9</c:v>
                </c:pt>
                <c:pt idx="8">
                  <c:v>0.95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5D-46D1-BCC1-62442089378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Experimento!$D$23:$D$30</c:f>
              <c:numCache>
                <c:formatCode>General</c:formatCode>
                <c:ptCount val="8"/>
                <c:pt idx="0">
                  <c:v>0</c:v>
                </c:pt>
                <c:pt idx="1">
                  <c:v>0.14285714285714285</c:v>
                </c:pt>
                <c:pt idx="2">
                  <c:v>0.2857142857142857</c:v>
                </c:pt>
                <c:pt idx="3">
                  <c:v>0.42857142857142855</c:v>
                </c:pt>
                <c:pt idx="4">
                  <c:v>0.5714285714285714</c:v>
                </c:pt>
                <c:pt idx="5">
                  <c:v>0.7142857142857143</c:v>
                </c:pt>
                <c:pt idx="6">
                  <c:v>0.8571428571428571</c:v>
                </c:pt>
                <c:pt idx="7">
                  <c:v>1</c:v>
                </c:pt>
              </c:numCache>
            </c:numRef>
          </c:xVal>
          <c:yVal>
            <c:numRef>
              <c:f>Experimento!$G$23:$G$30</c:f>
              <c:numCache>
                <c:formatCode>General</c:formatCode>
                <c:ptCount val="8"/>
                <c:pt idx="0">
                  <c:v>0</c:v>
                </c:pt>
                <c:pt idx="1">
                  <c:v>0.21052631578947367</c:v>
                </c:pt>
                <c:pt idx="2">
                  <c:v>0.26315789473684209</c:v>
                </c:pt>
                <c:pt idx="3">
                  <c:v>0.47368421052631576</c:v>
                </c:pt>
                <c:pt idx="4">
                  <c:v>0.73684210526315785</c:v>
                </c:pt>
                <c:pt idx="5">
                  <c:v>0.89473684210526316</c:v>
                </c:pt>
                <c:pt idx="6">
                  <c:v>0.94736842105263153</c:v>
                </c:pt>
                <c:pt idx="7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0D-4AD3-8C57-83A1B4084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874120"/>
        <c:axId val="801871496"/>
      </c:scatterChart>
      <c:valAx>
        <c:axId val="8018741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871496"/>
        <c:crosses val="autoZero"/>
        <c:crossBetween val="midCat"/>
      </c:valAx>
      <c:valAx>
        <c:axId val="801871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874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F$5" fmlaRange="Interpolação!$A$26:$A$29" noThreeD="1" sel="1" val="0"/>
</file>

<file path=xl/ctrlProps/ctrlProp2.xml><?xml version="1.0" encoding="utf-8"?>
<formControlPr xmlns="http://schemas.microsoft.com/office/spreadsheetml/2009/9/main" objectType="Drop" dropStyle="combo" dx="22" fmlaLink="$F$6" fmlaRange="Interpolação!$A$31:$A$33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133350</xdr:rowOff>
        </xdr:from>
        <xdr:to>
          <xdr:col>3</xdr:col>
          <xdr:colOff>438150</xdr:colOff>
          <xdr:row>2</xdr:row>
          <xdr:rowOff>180975</xdr:rowOff>
        </xdr:to>
        <xdr:sp macro="" textlink="">
          <xdr:nvSpPr>
            <xdr:cNvPr id="5123" name="quartil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38100</xdr:rowOff>
        </xdr:from>
        <xdr:to>
          <xdr:col>3</xdr:col>
          <xdr:colOff>447675</xdr:colOff>
          <xdr:row>4</xdr:row>
          <xdr:rowOff>133350</xdr:rowOff>
        </xdr:to>
        <xdr:sp macro="" textlink="">
          <xdr:nvSpPr>
            <xdr:cNvPr id="5124" name="curva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214312</xdr:colOff>
      <xdr:row>22</xdr:row>
      <xdr:rowOff>38100</xdr:rowOff>
    </xdr:from>
    <xdr:to>
      <xdr:col>14</xdr:col>
      <xdr:colOff>504825</xdr:colOff>
      <xdr:row>36</xdr:row>
      <xdr:rowOff>95250</xdr:rowOff>
    </xdr:to>
    <xdr:graphicFrame macro="">
      <xdr:nvGraphicFramePr>
        <xdr:cNvPr id="7" name="Hie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433387</xdr:colOff>
      <xdr:row>4</xdr:row>
      <xdr:rowOff>52387</xdr:rowOff>
    </xdr:from>
    <xdr:to>
      <xdr:col>25</xdr:col>
      <xdr:colOff>19050</xdr:colOff>
      <xdr:row>22</xdr:row>
      <xdr:rowOff>47625</xdr:rowOff>
    </xdr:to>
    <xdr:graphicFrame macro="">
      <xdr:nvGraphicFramePr>
        <xdr:cNvPr id="8" name="Hieto2">
          <a:extLst>
            <a:ext uri="{FF2B5EF4-FFF2-40B4-BE49-F238E27FC236}">
              <a16:creationId xmlns:a16="http://schemas.microsoft.com/office/drawing/2014/main" id="{5C023046-CE08-4183-8246-3B3F98096D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219075</xdr:colOff>
      <xdr:row>4</xdr:row>
      <xdr:rowOff>47625</xdr:rowOff>
    </xdr:from>
    <xdr:to>
      <xdr:col>14</xdr:col>
      <xdr:colOff>514350</xdr:colOff>
      <xdr:row>22</xdr:row>
      <xdr:rowOff>57149</xdr:rowOff>
    </xdr:to>
    <xdr:graphicFrame macro="">
      <xdr:nvGraphicFramePr>
        <xdr:cNvPr id="6" name="ChuvaAcum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42861</xdr:colOff>
      <xdr:row>24</xdr:row>
      <xdr:rowOff>157161</xdr:rowOff>
    </xdr:from>
    <xdr:to>
      <xdr:col>16</xdr:col>
      <xdr:colOff>238124</xdr:colOff>
      <xdr:row>49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119061</xdr:colOff>
      <xdr:row>24</xdr:row>
      <xdr:rowOff>195262</xdr:rowOff>
    </xdr:from>
    <xdr:to>
      <xdr:col>5</xdr:col>
      <xdr:colOff>485775</xdr:colOff>
      <xdr:row>50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338136</xdr:colOff>
      <xdr:row>25</xdr:row>
      <xdr:rowOff>33336</xdr:rowOff>
    </xdr:from>
    <xdr:to>
      <xdr:col>16</xdr:col>
      <xdr:colOff>314325</xdr:colOff>
      <xdr:row>54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25</xdr:row>
      <xdr:rowOff>19050</xdr:rowOff>
    </xdr:from>
    <xdr:to>
      <xdr:col>4</xdr:col>
      <xdr:colOff>1014414</xdr:colOff>
      <xdr:row>50</xdr:row>
      <xdr:rowOff>80963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157161</xdr:colOff>
      <xdr:row>0</xdr:row>
      <xdr:rowOff>171450</xdr:rowOff>
    </xdr:from>
    <xdr:to>
      <xdr:col>19</xdr:col>
      <xdr:colOff>285749</xdr:colOff>
      <xdr:row>27</xdr:row>
      <xdr:rowOff>361950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252411</xdr:colOff>
      <xdr:row>52</xdr:row>
      <xdr:rowOff>90487</xdr:rowOff>
    </xdr:from>
    <xdr:to>
      <xdr:col>8</xdr:col>
      <xdr:colOff>219074</xdr:colOff>
      <xdr:row>81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119062</xdr:colOff>
      <xdr:row>29</xdr:row>
      <xdr:rowOff>42861</xdr:rowOff>
    </xdr:from>
    <xdr:to>
      <xdr:col>19</xdr:col>
      <xdr:colOff>295275</xdr:colOff>
      <xdr:row>52</xdr:row>
      <xdr:rowOff>28574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423861</xdr:colOff>
      <xdr:row>53</xdr:row>
      <xdr:rowOff>109536</xdr:rowOff>
    </xdr:from>
    <xdr:to>
      <xdr:col>18</xdr:col>
      <xdr:colOff>114299</xdr:colOff>
      <xdr:row>80</xdr:row>
      <xdr:rowOff>190499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2</xdr:row>
      <xdr:rowOff>147637</xdr:rowOff>
    </xdr:from>
    <xdr:to>
      <xdr:col>15</xdr:col>
      <xdr:colOff>561975</xdr:colOff>
      <xdr:row>17</xdr:row>
      <xdr:rowOff>33337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C26575-4B49-4D19-9FC6-977A7CEBE3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314325</xdr:colOff>
      <xdr:row>18</xdr:row>
      <xdr:rowOff>185737</xdr:rowOff>
    </xdr:from>
    <xdr:to>
      <xdr:col>16</xdr:col>
      <xdr:colOff>9525</xdr:colOff>
      <xdr:row>33</xdr:row>
      <xdr:rowOff>71437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2A92FC-B979-4A34-A017-1883FB45E6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DFB02-F246-4E74-990D-28DEB7D39D83}">
  <sheetPr codeName="Planilha3">
    <tabColor theme="9" tint="-0.249977111117893"/>
  </sheetPr>
  <dimension ref="A1:L381"/>
  <sheetViews>
    <sheetView tabSelected="1" workbookViewId="0"/>
  </sheetViews>
  <sheetFormatPr defaultRowHeight="15" x14ac:dyDescent="0.25"/>
  <cols>
    <col min="3" max="3" width="11.28515625" bestFit="1" customWidth="1"/>
    <col min="6" max="6" width="19" customWidth="1"/>
  </cols>
  <sheetData>
    <row r="1" spans="1:12" x14ac:dyDescent="0.25">
      <c r="C1" s="34" t="s">
        <v>26</v>
      </c>
      <c r="D1" s="34"/>
      <c r="L1" s="1"/>
    </row>
    <row r="2" spans="1:12" x14ac:dyDescent="0.25">
      <c r="F2" s="21" t="s">
        <v>12</v>
      </c>
      <c r="G2" s="31">
        <v>18</v>
      </c>
      <c r="J2" s="1"/>
      <c r="K2" s="1"/>
      <c r="L2" s="1"/>
    </row>
    <row r="3" spans="1:12" x14ac:dyDescent="0.25">
      <c r="F3" s="21" t="s">
        <v>8</v>
      </c>
      <c r="G3" s="31">
        <v>180</v>
      </c>
      <c r="H3" t="s">
        <v>9</v>
      </c>
      <c r="J3" s="1"/>
      <c r="K3" s="1"/>
      <c r="L3" s="1"/>
    </row>
    <row r="4" spans="1:12" x14ac:dyDescent="0.25">
      <c r="F4" s="21" t="s">
        <v>6</v>
      </c>
      <c r="G4" s="31">
        <v>120</v>
      </c>
      <c r="H4" t="s">
        <v>7</v>
      </c>
      <c r="J4" s="1"/>
      <c r="K4" s="1"/>
      <c r="L4" s="1"/>
    </row>
    <row r="5" spans="1:12" x14ac:dyDescent="0.25">
      <c r="F5">
        <v>1</v>
      </c>
      <c r="J5" s="1"/>
      <c r="K5" s="1"/>
      <c r="L5" s="1"/>
    </row>
    <row r="6" spans="1:12" x14ac:dyDescent="0.25">
      <c r="F6">
        <v>2</v>
      </c>
      <c r="J6" s="1"/>
      <c r="K6" s="1"/>
      <c r="L6" s="1"/>
    </row>
    <row r="8" spans="1:12" x14ac:dyDescent="0.25">
      <c r="G8">
        <f>G2+4</f>
        <v>22</v>
      </c>
    </row>
    <row r="9" spans="1:12" x14ac:dyDescent="0.25">
      <c r="B9" s="1" t="s">
        <v>31</v>
      </c>
      <c r="C9" s="1" t="s">
        <v>27</v>
      </c>
    </row>
    <row r="10" spans="1:12" x14ac:dyDescent="0.25">
      <c r="A10">
        <v>1</v>
      </c>
      <c r="B10" s="1">
        <f>Interpolação!I4</f>
        <v>0</v>
      </c>
      <c r="C10" s="32">
        <f>Interpolação!O4</f>
        <v>0</v>
      </c>
    </row>
    <row r="11" spans="1:12" x14ac:dyDescent="0.25">
      <c r="A11">
        <v>2</v>
      </c>
      <c r="B11" s="1">
        <f>Interpolação!I5</f>
        <v>10</v>
      </c>
      <c r="C11" s="20">
        <f>Interpolação!O5</f>
        <v>16.133333333333333</v>
      </c>
    </row>
    <row r="12" spans="1:12" x14ac:dyDescent="0.25">
      <c r="A12">
        <v>3</v>
      </c>
      <c r="B12" s="1">
        <f>Interpolação!I6</f>
        <v>20</v>
      </c>
      <c r="C12" s="20">
        <f>Interpolação!O6</f>
        <v>17.333333333333336</v>
      </c>
    </row>
    <row r="13" spans="1:12" x14ac:dyDescent="0.25">
      <c r="A13">
        <v>4</v>
      </c>
      <c r="B13" s="1">
        <f>Interpolação!I7</f>
        <v>30</v>
      </c>
      <c r="C13" s="20">
        <f>Interpolação!O7</f>
        <v>17.333333333333329</v>
      </c>
    </row>
    <row r="14" spans="1:12" x14ac:dyDescent="0.25">
      <c r="A14">
        <v>5</v>
      </c>
      <c r="B14" s="1">
        <f>Interpolação!I8</f>
        <v>40</v>
      </c>
      <c r="C14" s="20">
        <f>Interpolação!O8</f>
        <v>16.266666666666666</v>
      </c>
    </row>
    <row r="15" spans="1:12" x14ac:dyDescent="0.25">
      <c r="A15">
        <v>6</v>
      </c>
      <c r="B15" s="1">
        <f>Interpolação!I9</f>
        <v>50</v>
      </c>
      <c r="C15" s="20">
        <f>Interpolação!O9</f>
        <v>12</v>
      </c>
    </row>
    <row r="16" spans="1:12" x14ac:dyDescent="0.25">
      <c r="A16">
        <v>7</v>
      </c>
      <c r="B16" s="1">
        <f>Interpolação!I10</f>
        <v>60</v>
      </c>
      <c r="C16" s="20">
        <f>Interpolação!O10</f>
        <v>7.7333333333333343</v>
      </c>
    </row>
    <row r="17" spans="1:3" x14ac:dyDescent="0.25">
      <c r="A17">
        <v>8</v>
      </c>
      <c r="B17" s="1">
        <f>Interpolação!I11</f>
        <v>70</v>
      </c>
      <c r="C17" s="20">
        <f>Interpolação!O11</f>
        <v>5.7333333333333343</v>
      </c>
    </row>
    <row r="18" spans="1:3" x14ac:dyDescent="0.25">
      <c r="A18">
        <v>9</v>
      </c>
      <c r="B18" s="1">
        <f>Interpolação!I12</f>
        <v>80</v>
      </c>
      <c r="C18" s="20">
        <f>Interpolação!O12</f>
        <v>4.2666666666666657</v>
      </c>
    </row>
    <row r="19" spans="1:3" x14ac:dyDescent="0.25">
      <c r="A19">
        <v>10</v>
      </c>
      <c r="B19" s="1">
        <f>Interpolação!I13</f>
        <v>90</v>
      </c>
      <c r="C19" s="20">
        <f>Interpolação!O13</f>
        <v>4</v>
      </c>
    </row>
    <row r="20" spans="1:3" x14ac:dyDescent="0.25">
      <c r="A20">
        <v>11</v>
      </c>
      <c r="B20" s="1">
        <f>Interpolação!I14</f>
        <v>100</v>
      </c>
      <c r="C20" s="20">
        <f>Interpolação!O14</f>
        <v>2.6666666666666714</v>
      </c>
    </row>
    <row r="21" spans="1:3" x14ac:dyDescent="0.25">
      <c r="A21">
        <v>12</v>
      </c>
      <c r="B21" s="1">
        <f>Interpolação!I15</f>
        <v>110</v>
      </c>
      <c r="C21" s="20">
        <f>Interpolação!O15</f>
        <v>2.6666666666666572</v>
      </c>
    </row>
    <row r="22" spans="1:3" x14ac:dyDescent="0.25">
      <c r="A22">
        <v>13</v>
      </c>
      <c r="B22" s="1">
        <f>Interpolação!I16</f>
        <v>120</v>
      </c>
      <c r="C22" s="20">
        <f>Interpolação!O16</f>
        <v>2.6666666666666714</v>
      </c>
    </row>
    <row r="23" spans="1:3" x14ac:dyDescent="0.25">
      <c r="A23">
        <v>14</v>
      </c>
      <c r="B23" s="1">
        <f>Interpolação!I17</f>
        <v>130</v>
      </c>
      <c r="C23" s="20">
        <f>Interpolação!O17</f>
        <v>2.6666666666666714</v>
      </c>
    </row>
    <row r="24" spans="1:3" x14ac:dyDescent="0.25">
      <c r="A24">
        <v>15</v>
      </c>
      <c r="B24" s="1">
        <f>Interpolação!I18</f>
        <v>140</v>
      </c>
      <c r="C24" s="20">
        <f>Interpolação!O18</f>
        <v>2</v>
      </c>
    </row>
    <row r="25" spans="1:3" x14ac:dyDescent="0.25">
      <c r="A25">
        <v>16</v>
      </c>
      <c r="B25" s="1">
        <f>Interpolação!I19</f>
        <v>150</v>
      </c>
      <c r="C25" s="20">
        <f>Interpolação!O19</f>
        <v>1.3333333333333286</v>
      </c>
    </row>
    <row r="26" spans="1:3" x14ac:dyDescent="0.25">
      <c r="A26">
        <v>17</v>
      </c>
      <c r="B26" s="1">
        <f>Interpolação!I20</f>
        <v>160</v>
      </c>
      <c r="C26" s="20">
        <f>Interpolação!O20</f>
        <v>1.3333333333333286</v>
      </c>
    </row>
    <row r="27" spans="1:3" x14ac:dyDescent="0.25">
      <c r="A27">
        <v>18</v>
      </c>
      <c r="B27" s="1">
        <f>Interpolação!I21</f>
        <v>170</v>
      </c>
      <c r="C27" s="20">
        <f>Interpolação!O21</f>
        <v>1.3333333333333286</v>
      </c>
    </row>
    <row r="28" spans="1:3" x14ac:dyDescent="0.25">
      <c r="A28">
        <v>19</v>
      </c>
      <c r="B28" s="1">
        <f>Interpolação!I22</f>
        <v>180</v>
      </c>
      <c r="C28" s="20">
        <f>Interpolação!O22</f>
        <v>2.5333333333333456</v>
      </c>
    </row>
    <row r="29" spans="1:3" x14ac:dyDescent="0.25">
      <c r="A29">
        <v>20</v>
      </c>
      <c r="B29" s="1">
        <f>Interpolação!I23</f>
        <v>190</v>
      </c>
      <c r="C29" s="20">
        <f>Interpolação!O23</f>
        <v>0</v>
      </c>
    </row>
    <row r="30" spans="1:3" x14ac:dyDescent="0.25">
      <c r="A30">
        <v>21</v>
      </c>
      <c r="B30" s="1">
        <f>Interpolação!I24</f>
        <v>200</v>
      </c>
      <c r="C30" s="20">
        <f>Interpolação!O24</f>
        <v>0</v>
      </c>
    </row>
    <row r="31" spans="1:3" x14ac:dyDescent="0.25">
      <c r="A31">
        <v>22</v>
      </c>
      <c r="B31" s="1">
        <f>Interpolação!I25</f>
        <v>210</v>
      </c>
      <c r="C31" s="20">
        <f>Interpolação!O25</f>
        <v>0</v>
      </c>
    </row>
    <row r="32" spans="1:3" x14ac:dyDescent="0.25">
      <c r="A32">
        <v>23</v>
      </c>
      <c r="B32" s="1">
        <f>Interpolação!I26</f>
        <v>220</v>
      </c>
      <c r="C32" s="20">
        <f>Interpolação!O26</f>
        <v>0</v>
      </c>
    </row>
    <row r="33" spans="1:3" x14ac:dyDescent="0.25">
      <c r="A33">
        <v>24</v>
      </c>
      <c r="B33" s="1">
        <f>Interpolação!I27</f>
        <v>230</v>
      </c>
      <c r="C33" s="20">
        <f>Interpolação!O27</f>
        <v>0</v>
      </c>
    </row>
    <row r="34" spans="1:3" x14ac:dyDescent="0.25">
      <c r="A34">
        <v>25</v>
      </c>
      <c r="B34" s="1">
        <f>Interpolação!I28</f>
        <v>240</v>
      </c>
      <c r="C34" s="20">
        <f>Interpolação!O28</f>
        <v>0</v>
      </c>
    </row>
    <row r="35" spans="1:3" x14ac:dyDescent="0.25">
      <c r="A35">
        <v>26</v>
      </c>
      <c r="B35" s="1">
        <f>Interpolação!I29</f>
        <v>250</v>
      </c>
      <c r="C35" s="20">
        <f>Interpolação!O29</f>
        <v>0</v>
      </c>
    </row>
    <row r="36" spans="1:3" x14ac:dyDescent="0.25">
      <c r="A36">
        <v>27</v>
      </c>
      <c r="B36" s="1">
        <f>Interpolação!I30</f>
        <v>260</v>
      </c>
      <c r="C36" s="20">
        <f>Interpolação!O30</f>
        <v>0</v>
      </c>
    </row>
    <row r="37" spans="1:3" x14ac:dyDescent="0.25">
      <c r="A37">
        <v>28</v>
      </c>
      <c r="B37" s="1">
        <f>Interpolação!I31</f>
        <v>270</v>
      </c>
      <c r="C37" s="20">
        <f>Interpolação!O31</f>
        <v>0</v>
      </c>
    </row>
    <row r="38" spans="1:3" x14ac:dyDescent="0.25">
      <c r="A38">
        <v>29</v>
      </c>
      <c r="B38" s="1">
        <f>Interpolação!I32</f>
        <v>280</v>
      </c>
      <c r="C38" s="20">
        <f>Interpolação!O32</f>
        <v>0</v>
      </c>
    </row>
    <row r="39" spans="1:3" x14ac:dyDescent="0.25">
      <c r="A39">
        <v>30</v>
      </c>
      <c r="B39" s="1">
        <f>Interpolação!I33</f>
        <v>290</v>
      </c>
      <c r="C39" s="20">
        <f>Interpolação!O33</f>
        <v>0</v>
      </c>
    </row>
    <row r="40" spans="1:3" x14ac:dyDescent="0.25">
      <c r="A40">
        <v>31</v>
      </c>
      <c r="B40" s="1">
        <f>Interpolação!I34</f>
        <v>300</v>
      </c>
      <c r="C40" s="20">
        <f>Interpolação!O34</f>
        <v>0</v>
      </c>
    </row>
    <row r="41" spans="1:3" x14ac:dyDescent="0.25">
      <c r="A41">
        <v>32</v>
      </c>
      <c r="B41" s="1">
        <f>Interpolação!I35</f>
        <v>310</v>
      </c>
      <c r="C41" s="20">
        <f>Interpolação!O35</f>
        <v>0</v>
      </c>
    </row>
    <row r="42" spans="1:3" x14ac:dyDescent="0.25">
      <c r="A42">
        <v>33</v>
      </c>
      <c r="B42" s="1">
        <f>Interpolação!I36</f>
        <v>320</v>
      </c>
      <c r="C42" s="20">
        <f>Interpolação!O36</f>
        <v>0</v>
      </c>
    </row>
    <row r="43" spans="1:3" x14ac:dyDescent="0.25">
      <c r="A43">
        <v>34</v>
      </c>
      <c r="B43" s="1">
        <f>Interpolação!I37</f>
        <v>330</v>
      </c>
      <c r="C43" s="20">
        <f>Interpolação!O37</f>
        <v>0</v>
      </c>
    </row>
    <row r="44" spans="1:3" x14ac:dyDescent="0.25">
      <c r="A44">
        <v>35</v>
      </c>
      <c r="B44" s="1">
        <f>Interpolação!I38</f>
        <v>340</v>
      </c>
      <c r="C44" s="20">
        <f>Interpolação!O38</f>
        <v>0</v>
      </c>
    </row>
    <row r="45" spans="1:3" x14ac:dyDescent="0.25">
      <c r="A45">
        <v>36</v>
      </c>
      <c r="B45" s="1">
        <f>Interpolação!I39</f>
        <v>350</v>
      </c>
      <c r="C45" s="20">
        <f>Interpolação!O39</f>
        <v>0</v>
      </c>
    </row>
    <row r="46" spans="1:3" x14ac:dyDescent="0.25">
      <c r="A46">
        <v>37</v>
      </c>
      <c r="B46" s="1">
        <f>Interpolação!I40</f>
        <v>360</v>
      </c>
      <c r="C46" s="20">
        <f>Interpolação!O40</f>
        <v>0</v>
      </c>
    </row>
    <row r="47" spans="1:3" x14ac:dyDescent="0.25">
      <c r="A47">
        <v>38</v>
      </c>
      <c r="B47" s="1">
        <f>Interpolação!I41</f>
        <v>370</v>
      </c>
      <c r="C47" s="20">
        <f>Interpolação!O41</f>
        <v>0</v>
      </c>
    </row>
    <row r="48" spans="1:3" x14ac:dyDescent="0.25">
      <c r="A48">
        <v>39</v>
      </c>
      <c r="B48" s="1">
        <f>Interpolação!I42</f>
        <v>380</v>
      </c>
      <c r="C48" s="20">
        <f>Interpolação!O42</f>
        <v>0</v>
      </c>
    </row>
    <row r="49" spans="1:3" x14ac:dyDescent="0.25">
      <c r="A49">
        <v>40</v>
      </c>
      <c r="B49" s="1">
        <f>Interpolação!I43</f>
        <v>390</v>
      </c>
      <c r="C49" s="20">
        <f>Interpolação!O43</f>
        <v>0</v>
      </c>
    </row>
    <row r="50" spans="1:3" x14ac:dyDescent="0.25">
      <c r="A50">
        <v>41</v>
      </c>
      <c r="B50" s="1">
        <f>Interpolação!I44</f>
        <v>400</v>
      </c>
      <c r="C50" s="20">
        <f>Interpolação!O44</f>
        <v>0</v>
      </c>
    </row>
    <row r="51" spans="1:3" x14ac:dyDescent="0.25">
      <c r="A51">
        <v>42</v>
      </c>
      <c r="B51" s="1">
        <f>Interpolação!I45</f>
        <v>410</v>
      </c>
      <c r="C51" s="20">
        <f>Interpolação!O45</f>
        <v>0</v>
      </c>
    </row>
    <row r="52" spans="1:3" x14ac:dyDescent="0.25">
      <c r="A52">
        <v>43</v>
      </c>
      <c r="B52" s="1">
        <f>Interpolação!I46</f>
        <v>420</v>
      </c>
      <c r="C52" s="20">
        <f>Interpolação!O46</f>
        <v>0</v>
      </c>
    </row>
    <row r="53" spans="1:3" x14ac:dyDescent="0.25">
      <c r="A53">
        <v>44</v>
      </c>
      <c r="B53" s="32">
        <f>Interpolação!I47</f>
        <v>430</v>
      </c>
      <c r="C53" s="32">
        <f>Interpolação!O47</f>
        <v>0</v>
      </c>
    </row>
    <row r="54" spans="1:3" x14ac:dyDescent="0.25">
      <c r="A54">
        <v>45</v>
      </c>
      <c r="B54" s="32">
        <f>Interpolação!I48</f>
        <v>440</v>
      </c>
      <c r="C54" s="32">
        <f>Interpolação!O48</f>
        <v>0</v>
      </c>
    </row>
    <row r="55" spans="1:3" x14ac:dyDescent="0.25">
      <c r="A55">
        <v>46</v>
      </c>
      <c r="B55" s="32">
        <f>Interpolação!I49</f>
        <v>450</v>
      </c>
      <c r="C55" s="32">
        <f>Interpolação!O49</f>
        <v>0</v>
      </c>
    </row>
    <row r="56" spans="1:3" x14ac:dyDescent="0.25">
      <c r="A56">
        <v>47</v>
      </c>
      <c r="B56" s="32">
        <f>Interpolação!I50</f>
        <v>460</v>
      </c>
      <c r="C56" s="32">
        <f>Interpolação!O50</f>
        <v>0</v>
      </c>
    </row>
    <row r="57" spans="1:3" x14ac:dyDescent="0.25">
      <c r="A57">
        <v>48</v>
      </c>
      <c r="B57" s="32">
        <f>Interpolação!I51</f>
        <v>470</v>
      </c>
      <c r="C57" s="32">
        <f>Interpolação!O51</f>
        <v>0</v>
      </c>
    </row>
    <row r="58" spans="1:3" x14ac:dyDescent="0.25">
      <c r="A58">
        <v>49</v>
      </c>
      <c r="B58" s="32">
        <f>Interpolação!I52</f>
        <v>480</v>
      </c>
      <c r="C58" s="32">
        <f>Interpolação!O52</f>
        <v>0</v>
      </c>
    </row>
    <row r="59" spans="1:3" x14ac:dyDescent="0.25">
      <c r="A59">
        <v>50</v>
      </c>
      <c r="B59" s="32">
        <f>Interpolação!I53</f>
        <v>490</v>
      </c>
      <c r="C59" s="32">
        <f>Interpolação!O53</f>
        <v>0</v>
      </c>
    </row>
    <row r="60" spans="1:3" x14ac:dyDescent="0.25">
      <c r="A60">
        <v>51</v>
      </c>
      <c r="B60" s="32">
        <f>Interpolação!I54</f>
        <v>500</v>
      </c>
      <c r="C60" s="32">
        <f>Interpolação!O54</f>
        <v>0</v>
      </c>
    </row>
    <row r="61" spans="1:3" x14ac:dyDescent="0.25">
      <c r="A61">
        <v>52</v>
      </c>
      <c r="B61" s="32">
        <f>Interpolação!I55</f>
        <v>510</v>
      </c>
      <c r="C61" s="32">
        <f>Interpolação!O55</f>
        <v>0</v>
      </c>
    </row>
    <row r="62" spans="1:3" x14ac:dyDescent="0.25">
      <c r="A62">
        <v>53</v>
      </c>
      <c r="B62" s="32">
        <f>Interpolação!I56</f>
        <v>520</v>
      </c>
      <c r="C62" s="32">
        <f>Interpolação!O56</f>
        <v>0</v>
      </c>
    </row>
    <row r="63" spans="1:3" x14ac:dyDescent="0.25">
      <c r="A63">
        <v>54</v>
      </c>
      <c r="B63" s="32">
        <f>Interpolação!I57</f>
        <v>530</v>
      </c>
      <c r="C63" s="32">
        <f>Interpolação!O57</f>
        <v>0</v>
      </c>
    </row>
    <row r="64" spans="1:3" x14ac:dyDescent="0.25">
      <c r="A64">
        <v>55</v>
      </c>
      <c r="B64" s="32">
        <f>Interpolação!I58</f>
        <v>540</v>
      </c>
      <c r="C64" s="32">
        <f>Interpolação!O58</f>
        <v>0</v>
      </c>
    </row>
    <row r="65" spans="1:3" x14ac:dyDescent="0.25">
      <c r="A65">
        <v>56</v>
      </c>
      <c r="B65" s="32">
        <f>Interpolação!I59</f>
        <v>550</v>
      </c>
      <c r="C65" s="32">
        <f>Interpolação!O59</f>
        <v>0</v>
      </c>
    </row>
    <row r="66" spans="1:3" x14ac:dyDescent="0.25">
      <c r="A66">
        <v>57</v>
      </c>
      <c r="B66" s="32">
        <f>Interpolação!I60</f>
        <v>560</v>
      </c>
      <c r="C66" s="32">
        <f>Interpolação!O60</f>
        <v>0</v>
      </c>
    </row>
    <row r="67" spans="1:3" x14ac:dyDescent="0.25">
      <c r="A67">
        <v>58</v>
      </c>
      <c r="B67" s="32">
        <f>Interpolação!I61</f>
        <v>570</v>
      </c>
      <c r="C67" s="32">
        <f>Interpolação!O61</f>
        <v>0</v>
      </c>
    </row>
    <row r="68" spans="1:3" x14ac:dyDescent="0.25">
      <c r="A68">
        <v>59</v>
      </c>
      <c r="B68" s="32">
        <f>Interpolação!I62</f>
        <v>580</v>
      </c>
      <c r="C68" s="32">
        <f>Interpolação!O62</f>
        <v>0</v>
      </c>
    </row>
    <row r="69" spans="1:3" x14ac:dyDescent="0.25">
      <c r="A69">
        <v>60</v>
      </c>
      <c r="B69" s="32">
        <f>Interpolação!I63</f>
        <v>590</v>
      </c>
      <c r="C69" s="32">
        <f>Interpolação!O63</f>
        <v>0</v>
      </c>
    </row>
    <row r="70" spans="1:3" x14ac:dyDescent="0.25">
      <c r="A70">
        <v>61</v>
      </c>
      <c r="B70" s="32">
        <f>Interpolação!I64</f>
        <v>600</v>
      </c>
      <c r="C70" s="32">
        <f>Interpolação!O64</f>
        <v>0</v>
      </c>
    </row>
    <row r="71" spans="1:3" x14ac:dyDescent="0.25">
      <c r="A71">
        <v>62</v>
      </c>
      <c r="B71" s="32">
        <f>Interpolação!I65</f>
        <v>610</v>
      </c>
      <c r="C71" s="32">
        <f>Interpolação!O65</f>
        <v>0</v>
      </c>
    </row>
    <row r="72" spans="1:3" x14ac:dyDescent="0.25">
      <c r="A72">
        <v>63</v>
      </c>
      <c r="B72" s="32">
        <f>Interpolação!I66</f>
        <v>620</v>
      </c>
      <c r="C72" s="32">
        <f>Interpolação!O66</f>
        <v>0</v>
      </c>
    </row>
    <row r="73" spans="1:3" x14ac:dyDescent="0.25">
      <c r="A73">
        <v>64</v>
      </c>
      <c r="B73" s="32">
        <f>Interpolação!I67</f>
        <v>630</v>
      </c>
      <c r="C73" s="32">
        <f>Interpolação!O67</f>
        <v>0</v>
      </c>
    </row>
    <row r="74" spans="1:3" x14ac:dyDescent="0.25">
      <c r="A74">
        <v>65</v>
      </c>
      <c r="B74" s="32">
        <f>Interpolação!I68</f>
        <v>640</v>
      </c>
      <c r="C74" s="32">
        <f>Interpolação!O68</f>
        <v>0</v>
      </c>
    </row>
    <row r="75" spans="1:3" x14ac:dyDescent="0.25">
      <c r="A75">
        <v>66</v>
      </c>
      <c r="B75" s="32">
        <f>Interpolação!I69</f>
        <v>650</v>
      </c>
      <c r="C75" s="32">
        <f>Interpolação!O69</f>
        <v>0</v>
      </c>
    </row>
    <row r="76" spans="1:3" x14ac:dyDescent="0.25">
      <c r="A76">
        <v>67</v>
      </c>
      <c r="B76" s="32">
        <f>Interpolação!I70</f>
        <v>660</v>
      </c>
      <c r="C76" s="32">
        <f>Interpolação!O70</f>
        <v>0</v>
      </c>
    </row>
    <row r="77" spans="1:3" x14ac:dyDescent="0.25">
      <c r="A77">
        <v>68</v>
      </c>
      <c r="B77" s="32">
        <f>Interpolação!I71</f>
        <v>670</v>
      </c>
      <c r="C77" s="32">
        <f>Interpolação!O71</f>
        <v>0</v>
      </c>
    </row>
    <row r="78" spans="1:3" x14ac:dyDescent="0.25">
      <c r="A78">
        <v>69</v>
      </c>
      <c r="B78" s="32">
        <f>Interpolação!I72</f>
        <v>680</v>
      </c>
      <c r="C78" s="32">
        <f>Interpolação!O72</f>
        <v>0</v>
      </c>
    </row>
    <row r="79" spans="1:3" x14ac:dyDescent="0.25">
      <c r="A79">
        <v>70</v>
      </c>
      <c r="B79" s="32">
        <f>Interpolação!I73</f>
        <v>690</v>
      </c>
      <c r="C79" s="32">
        <f>Interpolação!O73</f>
        <v>0</v>
      </c>
    </row>
    <row r="80" spans="1:3" x14ac:dyDescent="0.25">
      <c r="A80">
        <v>71</v>
      </c>
      <c r="B80" s="32">
        <f>Interpolação!I74</f>
        <v>700</v>
      </c>
      <c r="C80" s="32">
        <f>Interpolação!O74</f>
        <v>0</v>
      </c>
    </row>
    <row r="81" spans="1:3" x14ac:dyDescent="0.25">
      <c r="A81">
        <v>72</v>
      </c>
      <c r="B81" s="32">
        <f>Interpolação!I75</f>
        <v>710</v>
      </c>
      <c r="C81" s="32">
        <f>Interpolação!O75</f>
        <v>0</v>
      </c>
    </row>
    <row r="82" spans="1:3" x14ac:dyDescent="0.25">
      <c r="A82">
        <v>73</v>
      </c>
      <c r="B82" s="32">
        <f>Interpolação!I76</f>
        <v>720</v>
      </c>
      <c r="C82" s="32">
        <f>Interpolação!O76</f>
        <v>0</v>
      </c>
    </row>
    <row r="83" spans="1:3" x14ac:dyDescent="0.25">
      <c r="A83">
        <v>74</v>
      </c>
      <c r="B83" s="32">
        <f>Interpolação!I77</f>
        <v>730</v>
      </c>
      <c r="C83" s="32">
        <f>Interpolação!O77</f>
        <v>0</v>
      </c>
    </row>
    <row r="84" spans="1:3" x14ac:dyDescent="0.25">
      <c r="A84">
        <v>75</v>
      </c>
      <c r="B84" s="32">
        <f>Interpolação!I78</f>
        <v>740</v>
      </c>
      <c r="C84" s="32">
        <f>Interpolação!O78</f>
        <v>0</v>
      </c>
    </row>
    <row r="85" spans="1:3" x14ac:dyDescent="0.25">
      <c r="A85">
        <v>76</v>
      </c>
      <c r="B85" s="32">
        <f>Interpolação!I79</f>
        <v>750</v>
      </c>
      <c r="C85" s="32">
        <f>Interpolação!O79</f>
        <v>0</v>
      </c>
    </row>
    <row r="86" spans="1:3" x14ac:dyDescent="0.25">
      <c r="A86">
        <v>77</v>
      </c>
      <c r="B86" s="32">
        <f>Interpolação!I80</f>
        <v>760</v>
      </c>
      <c r="C86" s="32">
        <f>Interpolação!O80</f>
        <v>0</v>
      </c>
    </row>
    <row r="87" spans="1:3" x14ac:dyDescent="0.25">
      <c r="A87">
        <v>78</v>
      </c>
      <c r="B87" s="32">
        <f>Interpolação!I81</f>
        <v>770</v>
      </c>
      <c r="C87" s="32">
        <f>Interpolação!O81</f>
        <v>0</v>
      </c>
    </row>
    <row r="88" spans="1:3" x14ac:dyDescent="0.25">
      <c r="A88">
        <v>79</v>
      </c>
      <c r="B88" s="32">
        <f>Interpolação!I82</f>
        <v>780</v>
      </c>
      <c r="C88" s="32">
        <f>Interpolação!O82</f>
        <v>0</v>
      </c>
    </row>
    <row r="89" spans="1:3" x14ac:dyDescent="0.25">
      <c r="A89">
        <v>80</v>
      </c>
      <c r="B89" s="32">
        <f>Interpolação!I83</f>
        <v>790</v>
      </c>
      <c r="C89" s="32">
        <f>Interpolação!O83</f>
        <v>0</v>
      </c>
    </row>
    <row r="90" spans="1:3" x14ac:dyDescent="0.25">
      <c r="A90">
        <v>81</v>
      </c>
      <c r="B90" s="32">
        <f>Interpolação!I84</f>
        <v>800</v>
      </c>
      <c r="C90" s="32">
        <f>Interpolação!O84</f>
        <v>0</v>
      </c>
    </row>
    <row r="91" spans="1:3" x14ac:dyDescent="0.25">
      <c r="A91">
        <v>82</v>
      </c>
      <c r="B91" s="32">
        <f>Interpolação!I85</f>
        <v>810</v>
      </c>
      <c r="C91" s="32">
        <f>Interpolação!O85</f>
        <v>0</v>
      </c>
    </row>
    <row r="92" spans="1:3" x14ac:dyDescent="0.25">
      <c r="A92">
        <v>83</v>
      </c>
      <c r="B92" s="32">
        <f>Interpolação!I86</f>
        <v>820</v>
      </c>
      <c r="C92" s="32">
        <f>Interpolação!O86</f>
        <v>0</v>
      </c>
    </row>
    <row r="93" spans="1:3" x14ac:dyDescent="0.25">
      <c r="A93">
        <v>84</v>
      </c>
      <c r="B93" s="32">
        <f>Interpolação!I87</f>
        <v>830</v>
      </c>
      <c r="C93" s="32">
        <f>Interpolação!O87</f>
        <v>0</v>
      </c>
    </row>
    <row r="94" spans="1:3" x14ac:dyDescent="0.25">
      <c r="A94">
        <v>85</v>
      </c>
      <c r="B94" s="32">
        <f>Interpolação!I88</f>
        <v>840</v>
      </c>
      <c r="C94" s="32">
        <f>Interpolação!O88</f>
        <v>0</v>
      </c>
    </row>
    <row r="95" spans="1:3" x14ac:dyDescent="0.25">
      <c r="A95">
        <v>86</v>
      </c>
      <c r="B95" s="32">
        <f>Interpolação!I89</f>
        <v>850</v>
      </c>
      <c r="C95" s="32">
        <f>Interpolação!O89</f>
        <v>0</v>
      </c>
    </row>
    <row r="96" spans="1:3" x14ac:dyDescent="0.25">
      <c r="A96">
        <v>87</v>
      </c>
      <c r="B96" s="32">
        <f>Interpolação!I90</f>
        <v>860</v>
      </c>
      <c r="C96" s="32">
        <f>Interpolação!O90</f>
        <v>0</v>
      </c>
    </row>
    <row r="97" spans="1:3" x14ac:dyDescent="0.25">
      <c r="A97">
        <v>88</v>
      </c>
      <c r="B97" s="32">
        <f>Interpolação!I91</f>
        <v>870</v>
      </c>
      <c r="C97" s="32">
        <f>Interpolação!O91</f>
        <v>0</v>
      </c>
    </row>
    <row r="98" spans="1:3" x14ac:dyDescent="0.25">
      <c r="A98">
        <v>89</v>
      </c>
      <c r="B98" s="32">
        <f>Interpolação!I92</f>
        <v>880</v>
      </c>
      <c r="C98" s="32">
        <f>Interpolação!O92</f>
        <v>0</v>
      </c>
    </row>
    <row r="99" spans="1:3" x14ac:dyDescent="0.25">
      <c r="A99">
        <v>90</v>
      </c>
      <c r="B99" s="32">
        <f>Interpolação!I93</f>
        <v>890</v>
      </c>
      <c r="C99" s="32">
        <f>Interpolação!O93</f>
        <v>0</v>
      </c>
    </row>
    <row r="100" spans="1:3" x14ac:dyDescent="0.25">
      <c r="A100">
        <v>91</v>
      </c>
      <c r="B100" s="32">
        <f>Interpolação!I94</f>
        <v>900</v>
      </c>
      <c r="C100" s="32">
        <f>Interpolação!O94</f>
        <v>0</v>
      </c>
    </row>
    <row r="101" spans="1:3" x14ac:dyDescent="0.25">
      <c r="A101">
        <v>92</v>
      </c>
      <c r="B101" s="32">
        <f>Interpolação!I95</f>
        <v>910</v>
      </c>
      <c r="C101" s="32">
        <f>Interpolação!O95</f>
        <v>0</v>
      </c>
    </row>
    <row r="102" spans="1:3" x14ac:dyDescent="0.25">
      <c r="A102">
        <v>93</v>
      </c>
      <c r="B102" s="32">
        <f>Interpolação!I96</f>
        <v>920</v>
      </c>
      <c r="C102" s="32">
        <f>Interpolação!O96</f>
        <v>0</v>
      </c>
    </row>
    <row r="103" spans="1:3" x14ac:dyDescent="0.25">
      <c r="A103">
        <v>94</v>
      </c>
      <c r="B103" s="32">
        <f>Interpolação!I97</f>
        <v>930</v>
      </c>
      <c r="C103" s="32">
        <f>Interpolação!O97</f>
        <v>0</v>
      </c>
    </row>
    <row r="104" spans="1:3" x14ac:dyDescent="0.25">
      <c r="A104">
        <v>95</v>
      </c>
      <c r="B104" s="32">
        <f>Interpolação!I98</f>
        <v>940</v>
      </c>
      <c r="C104" s="32">
        <f>Interpolação!O98</f>
        <v>0</v>
      </c>
    </row>
    <row r="105" spans="1:3" x14ac:dyDescent="0.25">
      <c r="A105">
        <v>96</v>
      </c>
      <c r="B105" s="32">
        <f>Interpolação!I99</f>
        <v>950</v>
      </c>
      <c r="C105" s="32">
        <f>Interpolação!O99</f>
        <v>0</v>
      </c>
    </row>
    <row r="106" spans="1:3" x14ac:dyDescent="0.25">
      <c r="A106">
        <v>97</v>
      </c>
      <c r="B106" s="32">
        <f>Interpolação!I100</f>
        <v>960</v>
      </c>
      <c r="C106" s="32">
        <f>Interpolação!O100</f>
        <v>0</v>
      </c>
    </row>
    <row r="107" spans="1:3" x14ac:dyDescent="0.25">
      <c r="A107">
        <v>98</v>
      </c>
      <c r="B107" s="32">
        <f>Interpolação!I101</f>
        <v>970</v>
      </c>
      <c r="C107" s="32">
        <f>Interpolação!O101</f>
        <v>0</v>
      </c>
    </row>
    <row r="108" spans="1:3" x14ac:dyDescent="0.25">
      <c r="A108">
        <v>99</v>
      </c>
      <c r="B108" s="32">
        <f>Interpolação!I102</f>
        <v>980</v>
      </c>
      <c r="C108" s="32">
        <f>Interpolação!O102</f>
        <v>0</v>
      </c>
    </row>
    <row r="109" spans="1:3" x14ac:dyDescent="0.25">
      <c r="A109">
        <v>100</v>
      </c>
      <c r="B109" s="32">
        <f>Interpolação!I103</f>
        <v>990</v>
      </c>
      <c r="C109" s="32">
        <f>Interpolação!O103</f>
        <v>0</v>
      </c>
    </row>
    <row r="110" spans="1:3" x14ac:dyDescent="0.25">
      <c r="A110">
        <v>101</v>
      </c>
      <c r="B110" s="32">
        <f>Interpolação!I104</f>
        <v>1000</v>
      </c>
      <c r="C110" s="32">
        <f>Interpolação!O104</f>
        <v>0</v>
      </c>
    </row>
    <row r="111" spans="1:3" x14ac:dyDescent="0.25">
      <c r="B111" s="1"/>
      <c r="C111" s="1"/>
    </row>
    <row r="112" spans="1:3" x14ac:dyDescent="0.25">
      <c r="B112" s="1"/>
      <c r="C112" s="1"/>
    </row>
    <row r="113" spans="2:3" x14ac:dyDescent="0.25">
      <c r="B113" s="1"/>
      <c r="C113" s="1"/>
    </row>
    <row r="114" spans="2:3" x14ac:dyDescent="0.25">
      <c r="B114" s="1"/>
      <c r="C114" s="1"/>
    </row>
    <row r="115" spans="2:3" x14ac:dyDescent="0.25">
      <c r="B115" s="1"/>
      <c r="C115" s="1"/>
    </row>
    <row r="116" spans="2:3" x14ac:dyDescent="0.25">
      <c r="B116" s="1"/>
      <c r="C116" s="1"/>
    </row>
    <row r="117" spans="2:3" x14ac:dyDescent="0.25">
      <c r="B117" s="1"/>
      <c r="C117" s="1"/>
    </row>
    <row r="118" spans="2:3" x14ac:dyDescent="0.25">
      <c r="B118" s="1"/>
      <c r="C118" s="1"/>
    </row>
    <row r="119" spans="2:3" x14ac:dyDescent="0.25">
      <c r="B119" s="1"/>
      <c r="C119" s="1"/>
    </row>
    <row r="120" spans="2:3" x14ac:dyDescent="0.25">
      <c r="B120" s="1"/>
      <c r="C120" s="1"/>
    </row>
    <row r="121" spans="2:3" x14ac:dyDescent="0.25">
      <c r="B121" s="1"/>
      <c r="C121" s="1"/>
    </row>
    <row r="122" spans="2:3" x14ac:dyDescent="0.25">
      <c r="B122" s="1"/>
      <c r="C122" s="1"/>
    </row>
    <row r="123" spans="2:3" x14ac:dyDescent="0.25">
      <c r="B123" s="1"/>
      <c r="C123" s="1"/>
    </row>
    <row r="124" spans="2:3" x14ac:dyDescent="0.25">
      <c r="B124" s="1"/>
      <c r="C124" s="1"/>
    </row>
    <row r="125" spans="2:3" x14ac:dyDescent="0.25">
      <c r="B125" s="1"/>
      <c r="C125" s="1"/>
    </row>
    <row r="126" spans="2:3" x14ac:dyDescent="0.25">
      <c r="B126" s="1"/>
      <c r="C126" s="1"/>
    </row>
    <row r="127" spans="2:3" x14ac:dyDescent="0.25">
      <c r="B127" s="1"/>
      <c r="C127" s="1"/>
    </row>
    <row r="128" spans="2:3" x14ac:dyDescent="0.25">
      <c r="B128" s="1"/>
      <c r="C128" s="1"/>
    </row>
    <row r="129" spans="2:3" x14ac:dyDescent="0.25">
      <c r="B129" s="1"/>
      <c r="C129" s="1"/>
    </row>
    <row r="130" spans="2:3" x14ac:dyDescent="0.25">
      <c r="B130" s="1"/>
      <c r="C130" s="1"/>
    </row>
    <row r="131" spans="2:3" x14ac:dyDescent="0.25">
      <c r="B131" s="1"/>
      <c r="C131" s="1"/>
    </row>
    <row r="132" spans="2:3" x14ac:dyDescent="0.25">
      <c r="B132" s="1"/>
      <c r="C132" s="1"/>
    </row>
    <row r="133" spans="2:3" x14ac:dyDescent="0.25">
      <c r="B133" s="1"/>
      <c r="C133" s="1"/>
    </row>
    <row r="134" spans="2:3" x14ac:dyDescent="0.25">
      <c r="B134" s="1"/>
      <c r="C134" s="1"/>
    </row>
    <row r="135" spans="2:3" x14ac:dyDescent="0.25">
      <c r="B135" s="1"/>
      <c r="C135" s="1"/>
    </row>
    <row r="136" spans="2:3" x14ac:dyDescent="0.25">
      <c r="B136" s="1"/>
      <c r="C136" s="1"/>
    </row>
    <row r="137" spans="2:3" x14ac:dyDescent="0.25">
      <c r="B137" s="1"/>
      <c r="C137" s="1"/>
    </row>
    <row r="138" spans="2:3" x14ac:dyDescent="0.25">
      <c r="B138" s="1"/>
      <c r="C138" s="1"/>
    </row>
    <row r="139" spans="2:3" x14ac:dyDescent="0.25">
      <c r="B139" s="1"/>
      <c r="C139" s="1"/>
    </row>
    <row r="140" spans="2:3" x14ac:dyDescent="0.25">
      <c r="B140" s="1"/>
      <c r="C140" s="1"/>
    </row>
    <row r="141" spans="2:3" x14ac:dyDescent="0.25">
      <c r="B141" s="1"/>
      <c r="C141" s="1"/>
    </row>
    <row r="142" spans="2:3" x14ac:dyDescent="0.25">
      <c r="B142" s="1"/>
      <c r="C142" s="1"/>
    </row>
    <row r="143" spans="2:3" x14ac:dyDescent="0.25">
      <c r="B143" s="1"/>
      <c r="C143" s="1"/>
    </row>
    <row r="144" spans="2:3" x14ac:dyDescent="0.25">
      <c r="B144" s="1"/>
      <c r="C144" s="1"/>
    </row>
    <row r="145" spans="2:3" x14ac:dyDescent="0.25">
      <c r="B145" s="1"/>
      <c r="C145" s="1"/>
    </row>
    <row r="146" spans="2:3" x14ac:dyDescent="0.25">
      <c r="B146" s="1"/>
      <c r="C146" s="1"/>
    </row>
    <row r="147" spans="2:3" x14ac:dyDescent="0.25">
      <c r="B147" s="1"/>
      <c r="C147" s="1"/>
    </row>
    <row r="148" spans="2:3" x14ac:dyDescent="0.25">
      <c r="B148" s="1"/>
      <c r="C148" s="1"/>
    </row>
    <row r="149" spans="2:3" x14ac:dyDescent="0.25">
      <c r="B149" s="1"/>
      <c r="C149" s="1"/>
    </row>
    <row r="150" spans="2:3" x14ac:dyDescent="0.25">
      <c r="B150" s="1"/>
      <c r="C150" s="1"/>
    </row>
    <row r="151" spans="2:3" x14ac:dyDescent="0.25">
      <c r="B151" s="1"/>
      <c r="C151" s="1"/>
    </row>
    <row r="152" spans="2:3" x14ac:dyDescent="0.25">
      <c r="B152" s="1"/>
      <c r="C152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  <row r="157" spans="2:3" x14ac:dyDescent="0.25">
      <c r="B157" s="1"/>
      <c r="C157" s="1"/>
    </row>
    <row r="158" spans="2:3" x14ac:dyDescent="0.25">
      <c r="B158" s="1"/>
      <c r="C158" s="1"/>
    </row>
    <row r="159" spans="2:3" x14ac:dyDescent="0.25">
      <c r="B159" s="1"/>
      <c r="C159" s="1"/>
    </row>
    <row r="160" spans="2:3" x14ac:dyDescent="0.25">
      <c r="B160" s="1"/>
      <c r="C160" s="1"/>
    </row>
    <row r="161" spans="2:3" x14ac:dyDescent="0.25">
      <c r="B161" s="1"/>
      <c r="C161" s="1"/>
    </row>
    <row r="162" spans="2:3" x14ac:dyDescent="0.25">
      <c r="B162" s="1"/>
      <c r="C162" s="1"/>
    </row>
    <row r="163" spans="2:3" x14ac:dyDescent="0.25">
      <c r="B163" s="1"/>
      <c r="C163" s="1"/>
    </row>
    <row r="164" spans="2:3" x14ac:dyDescent="0.25">
      <c r="B164" s="1"/>
      <c r="C164" s="1"/>
    </row>
    <row r="165" spans="2:3" x14ac:dyDescent="0.25">
      <c r="B165" s="1"/>
      <c r="C165" s="1"/>
    </row>
    <row r="166" spans="2:3" x14ac:dyDescent="0.25">
      <c r="B166" s="1"/>
      <c r="C166" s="1"/>
    </row>
    <row r="167" spans="2:3" x14ac:dyDescent="0.25">
      <c r="B167" s="1"/>
      <c r="C167" s="1"/>
    </row>
    <row r="168" spans="2:3" x14ac:dyDescent="0.25">
      <c r="B168" s="1"/>
      <c r="C168" s="1"/>
    </row>
    <row r="169" spans="2:3" x14ac:dyDescent="0.25">
      <c r="B169" s="1"/>
      <c r="C169" s="1"/>
    </row>
    <row r="170" spans="2:3" x14ac:dyDescent="0.25">
      <c r="B170" s="1"/>
      <c r="C170" s="1"/>
    </row>
    <row r="171" spans="2:3" x14ac:dyDescent="0.25">
      <c r="B171" s="1"/>
      <c r="C171" s="1"/>
    </row>
    <row r="172" spans="2:3" x14ac:dyDescent="0.25">
      <c r="B172" s="1"/>
      <c r="C172" s="1"/>
    </row>
    <row r="173" spans="2:3" x14ac:dyDescent="0.25">
      <c r="B173" s="1"/>
      <c r="C173" s="1"/>
    </row>
    <row r="174" spans="2:3" x14ac:dyDescent="0.25">
      <c r="B174" s="1"/>
      <c r="C174" s="1"/>
    </row>
    <row r="175" spans="2:3" x14ac:dyDescent="0.25">
      <c r="B175" s="1"/>
      <c r="C175" s="1"/>
    </row>
    <row r="176" spans="2:3" x14ac:dyDescent="0.25">
      <c r="B176" s="1"/>
      <c r="C176" s="1"/>
    </row>
    <row r="177" spans="2:3" x14ac:dyDescent="0.25">
      <c r="B177" s="1"/>
      <c r="C177" s="1"/>
    </row>
    <row r="178" spans="2:3" x14ac:dyDescent="0.25">
      <c r="B178" s="1"/>
      <c r="C178" s="1"/>
    </row>
    <row r="179" spans="2:3" x14ac:dyDescent="0.25">
      <c r="B179" s="1"/>
      <c r="C179" s="1"/>
    </row>
    <row r="180" spans="2:3" x14ac:dyDescent="0.25">
      <c r="B180" s="1"/>
      <c r="C180" s="1"/>
    </row>
    <row r="181" spans="2:3" x14ac:dyDescent="0.25">
      <c r="B181" s="1"/>
      <c r="C181" s="1"/>
    </row>
    <row r="182" spans="2:3" x14ac:dyDescent="0.25">
      <c r="B182" s="1"/>
      <c r="C182" s="1"/>
    </row>
    <row r="183" spans="2:3" x14ac:dyDescent="0.25">
      <c r="B183" s="1"/>
      <c r="C183" s="1"/>
    </row>
    <row r="184" spans="2:3" x14ac:dyDescent="0.25">
      <c r="B184" s="1"/>
      <c r="C184" s="1"/>
    </row>
    <row r="185" spans="2:3" x14ac:dyDescent="0.25">
      <c r="B185" s="1"/>
      <c r="C185" s="1"/>
    </row>
    <row r="186" spans="2:3" x14ac:dyDescent="0.25">
      <c r="B186" s="1"/>
      <c r="C186" s="1"/>
    </row>
    <row r="187" spans="2:3" x14ac:dyDescent="0.25">
      <c r="B187" s="1"/>
      <c r="C187" s="1"/>
    </row>
    <row r="188" spans="2:3" x14ac:dyDescent="0.25">
      <c r="B188" s="1"/>
      <c r="C188" s="1"/>
    </row>
    <row r="189" spans="2:3" x14ac:dyDescent="0.25">
      <c r="B189" s="1"/>
      <c r="C189" s="1"/>
    </row>
    <row r="190" spans="2:3" x14ac:dyDescent="0.25">
      <c r="B190" s="1"/>
      <c r="C190" s="1"/>
    </row>
    <row r="191" spans="2:3" x14ac:dyDescent="0.25">
      <c r="B191" s="1"/>
      <c r="C191" s="1"/>
    </row>
    <row r="192" spans="2:3" x14ac:dyDescent="0.25">
      <c r="B192" s="1"/>
      <c r="C192" s="1"/>
    </row>
    <row r="193" spans="2:3" x14ac:dyDescent="0.25">
      <c r="B193" s="1"/>
      <c r="C193" s="1"/>
    </row>
    <row r="194" spans="2:3" x14ac:dyDescent="0.25">
      <c r="B194" s="1"/>
      <c r="C194" s="1"/>
    </row>
    <row r="195" spans="2:3" x14ac:dyDescent="0.25">
      <c r="B195" s="1"/>
      <c r="C195" s="1"/>
    </row>
    <row r="196" spans="2:3" x14ac:dyDescent="0.25">
      <c r="B196" s="1"/>
      <c r="C196" s="1"/>
    </row>
    <row r="197" spans="2:3" x14ac:dyDescent="0.25">
      <c r="B197" s="1"/>
      <c r="C197" s="1"/>
    </row>
    <row r="198" spans="2:3" x14ac:dyDescent="0.25">
      <c r="B198" s="1"/>
      <c r="C198" s="1"/>
    </row>
    <row r="199" spans="2:3" x14ac:dyDescent="0.25">
      <c r="B199" s="1"/>
      <c r="C199" s="1"/>
    </row>
    <row r="200" spans="2:3" x14ac:dyDescent="0.25">
      <c r="B200" s="1"/>
      <c r="C200" s="1"/>
    </row>
    <row r="201" spans="2:3" x14ac:dyDescent="0.25">
      <c r="B201" s="1"/>
      <c r="C201" s="1"/>
    </row>
    <row r="202" spans="2:3" x14ac:dyDescent="0.25">
      <c r="B202" s="1"/>
      <c r="C202" s="1"/>
    </row>
    <row r="203" spans="2:3" x14ac:dyDescent="0.25">
      <c r="B203" s="1"/>
      <c r="C203" s="1"/>
    </row>
    <row r="204" spans="2:3" x14ac:dyDescent="0.25">
      <c r="B204" s="1"/>
      <c r="C204" s="1"/>
    </row>
    <row r="205" spans="2:3" x14ac:dyDescent="0.25">
      <c r="B205" s="1"/>
      <c r="C205" s="1"/>
    </row>
    <row r="206" spans="2:3" x14ac:dyDescent="0.25">
      <c r="B206" s="1"/>
      <c r="C206" s="1"/>
    </row>
    <row r="207" spans="2:3" x14ac:dyDescent="0.25">
      <c r="B207" s="1"/>
      <c r="C207" s="1"/>
    </row>
    <row r="208" spans="2:3" x14ac:dyDescent="0.25">
      <c r="B208" s="1"/>
      <c r="C208" s="1"/>
    </row>
    <row r="209" spans="2:3" x14ac:dyDescent="0.25">
      <c r="B209" s="1"/>
      <c r="C209" s="1"/>
    </row>
    <row r="210" spans="2:3" x14ac:dyDescent="0.25">
      <c r="B210" s="1"/>
      <c r="C210" s="1"/>
    </row>
    <row r="211" spans="2:3" x14ac:dyDescent="0.25">
      <c r="B211" s="1"/>
      <c r="C211" s="1"/>
    </row>
    <row r="212" spans="2:3" x14ac:dyDescent="0.25">
      <c r="B212" s="1"/>
      <c r="C212" s="1"/>
    </row>
    <row r="213" spans="2:3" x14ac:dyDescent="0.25">
      <c r="B213" s="1"/>
      <c r="C213" s="1"/>
    </row>
    <row r="214" spans="2:3" x14ac:dyDescent="0.25">
      <c r="B214" s="1"/>
      <c r="C214" s="1"/>
    </row>
    <row r="215" spans="2:3" x14ac:dyDescent="0.25">
      <c r="B215" s="1"/>
      <c r="C215" s="1"/>
    </row>
    <row r="216" spans="2:3" x14ac:dyDescent="0.25">
      <c r="B216" s="1"/>
      <c r="C216" s="1"/>
    </row>
    <row r="217" spans="2:3" x14ac:dyDescent="0.25">
      <c r="B217" s="1"/>
      <c r="C217" s="1"/>
    </row>
    <row r="218" spans="2:3" x14ac:dyDescent="0.25">
      <c r="B218" s="1"/>
      <c r="C218" s="1"/>
    </row>
    <row r="219" spans="2:3" x14ac:dyDescent="0.25">
      <c r="B219" s="1"/>
      <c r="C219" s="1"/>
    </row>
    <row r="220" spans="2:3" x14ac:dyDescent="0.25">
      <c r="B220" s="1"/>
      <c r="C220" s="1"/>
    </row>
    <row r="221" spans="2:3" x14ac:dyDescent="0.25">
      <c r="B221" s="1"/>
      <c r="C221" s="1"/>
    </row>
    <row r="222" spans="2:3" x14ac:dyDescent="0.25">
      <c r="B222" s="1"/>
      <c r="C222" s="1"/>
    </row>
    <row r="223" spans="2:3" x14ac:dyDescent="0.25">
      <c r="B223" s="1"/>
      <c r="C223" s="1"/>
    </row>
    <row r="224" spans="2:3" x14ac:dyDescent="0.25">
      <c r="B224" s="1"/>
      <c r="C224" s="1"/>
    </row>
    <row r="225" spans="2:3" x14ac:dyDescent="0.25">
      <c r="B225" s="1"/>
      <c r="C225" s="1"/>
    </row>
    <row r="226" spans="2:3" x14ac:dyDescent="0.25">
      <c r="B226" s="1"/>
      <c r="C226" s="1"/>
    </row>
    <row r="227" spans="2:3" x14ac:dyDescent="0.25">
      <c r="B227" s="1"/>
      <c r="C227" s="1"/>
    </row>
    <row r="228" spans="2:3" x14ac:dyDescent="0.25">
      <c r="B228" s="1"/>
      <c r="C228" s="1"/>
    </row>
    <row r="229" spans="2:3" x14ac:dyDescent="0.25">
      <c r="B229" s="1"/>
      <c r="C229" s="1"/>
    </row>
    <row r="230" spans="2:3" x14ac:dyDescent="0.25">
      <c r="B230" s="1"/>
      <c r="C230" s="1"/>
    </row>
    <row r="231" spans="2:3" x14ac:dyDescent="0.25">
      <c r="B231" s="1"/>
      <c r="C231" s="1"/>
    </row>
    <row r="232" spans="2:3" x14ac:dyDescent="0.25">
      <c r="B232" s="1"/>
      <c r="C232" s="1"/>
    </row>
    <row r="233" spans="2:3" x14ac:dyDescent="0.25">
      <c r="B233" s="1"/>
      <c r="C233" s="1"/>
    </row>
    <row r="234" spans="2:3" x14ac:dyDescent="0.25">
      <c r="B234" s="1"/>
      <c r="C234" s="1"/>
    </row>
    <row r="235" spans="2:3" x14ac:dyDescent="0.25">
      <c r="B235" s="1"/>
      <c r="C235" s="1"/>
    </row>
    <row r="236" spans="2:3" x14ac:dyDescent="0.25">
      <c r="B236" s="1"/>
      <c r="C236" s="1"/>
    </row>
    <row r="237" spans="2:3" x14ac:dyDescent="0.25">
      <c r="B237" s="1"/>
      <c r="C237" s="1"/>
    </row>
    <row r="238" spans="2:3" x14ac:dyDescent="0.25">
      <c r="B238" s="1"/>
      <c r="C238" s="1"/>
    </row>
    <row r="239" spans="2:3" x14ac:dyDescent="0.25">
      <c r="B239" s="1"/>
      <c r="C239" s="1"/>
    </row>
    <row r="240" spans="2:3" x14ac:dyDescent="0.25">
      <c r="B240" s="1"/>
      <c r="C240" s="1"/>
    </row>
    <row r="241" spans="2:3" x14ac:dyDescent="0.25">
      <c r="B241" s="1"/>
      <c r="C241" s="1"/>
    </row>
    <row r="242" spans="2:3" x14ac:dyDescent="0.25">
      <c r="B242" s="1"/>
      <c r="C242" s="1"/>
    </row>
    <row r="243" spans="2:3" x14ac:dyDescent="0.25">
      <c r="B243" s="1"/>
      <c r="C243" s="1"/>
    </row>
    <row r="244" spans="2:3" x14ac:dyDescent="0.25">
      <c r="B244" s="1"/>
      <c r="C244" s="1"/>
    </row>
    <row r="245" spans="2:3" x14ac:dyDescent="0.25">
      <c r="B245" s="1"/>
      <c r="C245" s="1"/>
    </row>
    <row r="246" spans="2:3" x14ac:dyDescent="0.25">
      <c r="B246" s="1"/>
      <c r="C246" s="1"/>
    </row>
    <row r="247" spans="2:3" x14ac:dyDescent="0.25">
      <c r="B247" s="1"/>
      <c r="C247" s="1"/>
    </row>
    <row r="248" spans="2:3" x14ac:dyDescent="0.25">
      <c r="B248" s="1"/>
      <c r="C248" s="1"/>
    </row>
    <row r="249" spans="2:3" x14ac:dyDescent="0.25">
      <c r="B249" s="1"/>
      <c r="C249" s="1"/>
    </row>
    <row r="250" spans="2:3" x14ac:dyDescent="0.25">
      <c r="B250" s="1"/>
      <c r="C250" s="1"/>
    </row>
    <row r="251" spans="2:3" x14ac:dyDescent="0.25">
      <c r="B251" s="1"/>
      <c r="C251" s="1"/>
    </row>
    <row r="252" spans="2:3" x14ac:dyDescent="0.25">
      <c r="B252" s="1"/>
      <c r="C252" s="1"/>
    </row>
    <row r="253" spans="2:3" x14ac:dyDescent="0.25">
      <c r="B253" s="1"/>
      <c r="C253" s="1"/>
    </row>
    <row r="254" spans="2:3" x14ac:dyDescent="0.25">
      <c r="B254" s="1"/>
      <c r="C254" s="1"/>
    </row>
    <row r="255" spans="2:3" x14ac:dyDescent="0.25">
      <c r="B255" s="1"/>
      <c r="C255" s="1"/>
    </row>
    <row r="256" spans="2:3" x14ac:dyDescent="0.25">
      <c r="B256" s="1"/>
      <c r="C256" s="1"/>
    </row>
    <row r="257" spans="2:3" x14ac:dyDescent="0.25">
      <c r="B257" s="1"/>
      <c r="C257" s="1"/>
    </row>
    <row r="258" spans="2:3" x14ac:dyDescent="0.25">
      <c r="B258" s="1"/>
      <c r="C258" s="1"/>
    </row>
    <row r="259" spans="2:3" x14ac:dyDescent="0.25">
      <c r="B259" s="1"/>
      <c r="C259" s="1"/>
    </row>
    <row r="260" spans="2:3" x14ac:dyDescent="0.25">
      <c r="B260" s="1"/>
      <c r="C260" s="1"/>
    </row>
    <row r="261" spans="2:3" x14ac:dyDescent="0.25">
      <c r="B261" s="1"/>
      <c r="C261" s="1"/>
    </row>
    <row r="262" spans="2:3" x14ac:dyDescent="0.25">
      <c r="B262" s="1"/>
      <c r="C262" s="1"/>
    </row>
    <row r="263" spans="2:3" x14ac:dyDescent="0.25">
      <c r="B263" s="1"/>
      <c r="C263" s="1"/>
    </row>
    <row r="264" spans="2:3" x14ac:dyDescent="0.25">
      <c r="B264" s="1"/>
      <c r="C264" s="1"/>
    </row>
    <row r="265" spans="2:3" x14ac:dyDescent="0.25">
      <c r="B265" s="1"/>
      <c r="C265" s="1"/>
    </row>
    <row r="266" spans="2:3" x14ac:dyDescent="0.25">
      <c r="B266" s="1"/>
      <c r="C266" s="1"/>
    </row>
    <row r="267" spans="2:3" x14ac:dyDescent="0.25">
      <c r="B267" s="1"/>
      <c r="C267" s="1"/>
    </row>
    <row r="268" spans="2:3" x14ac:dyDescent="0.25">
      <c r="B268" s="1"/>
      <c r="C268" s="1"/>
    </row>
    <row r="269" spans="2:3" x14ac:dyDescent="0.25">
      <c r="B269" s="1"/>
      <c r="C269" s="1"/>
    </row>
    <row r="270" spans="2:3" x14ac:dyDescent="0.25">
      <c r="B270" s="1"/>
      <c r="C270" s="1"/>
    </row>
    <row r="271" spans="2:3" x14ac:dyDescent="0.25">
      <c r="B271" s="1"/>
      <c r="C271" s="1"/>
    </row>
    <row r="272" spans="2:3" x14ac:dyDescent="0.25">
      <c r="B272" s="1"/>
      <c r="C272" s="1"/>
    </row>
    <row r="273" spans="2:3" x14ac:dyDescent="0.25">
      <c r="B273" s="1"/>
      <c r="C273" s="1"/>
    </row>
    <row r="274" spans="2:3" x14ac:dyDescent="0.25">
      <c r="B274" s="1"/>
      <c r="C274" s="1"/>
    </row>
    <row r="275" spans="2:3" x14ac:dyDescent="0.25">
      <c r="B275" s="1"/>
      <c r="C275" s="1"/>
    </row>
    <row r="276" spans="2:3" x14ac:dyDescent="0.25">
      <c r="B276" s="1"/>
      <c r="C276" s="1"/>
    </row>
    <row r="277" spans="2:3" x14ac:dyDescent="0.25">
      <c r="B277" s="1"/>
      <c r="C277" s="1"/>
    </row>
    <row r="278" spans="2:3" x14ac:dyDescent="0.25">
      <c r="B278" s="1"/>
      <c r="C278" s="1"/>
    </row>
    <row r="279" spans="2:3" x14ac:dyDescent="0.25">
      <c r="B279" s="1"/>
      <c r="C279" s="1"/>
    </row>
    <row r="280" spans="2:3" x14ac:dyDescent="0.25">
      <c r="B280" s="1"/>
      <c r="C280" s="1"/>
    </row>
    <row r="281" spans="2:3" x14ac:dyDescent="0.25">
      <c r="B281" s="1"/>
      <c r="C281" s="1"/>
    </row>
    <row r="282" spans="2:3" x14ac:dyDescent="0.25">
      <c r="B282" s="1"/>
      <c r="C282" s="1"/>
    </row>
    <row r="283" spans="2:3" x14ac:dyDescent="0.25">
      <c r="B283" s="1"/>
      <c r="C283" s="1"/>
    </row>
    <row r="284" spans="2:3" x14ac:dyDescent="0.25">
      <c r="B284" s="1"/>
      <c r="C284" s="1"/>
    </row>
    <row r="285" spans="2:3" x14ac:dyDescent="0.25">
      <c r="B285" s="1"/>
      <c r="C285" s="1"/>
    </row>
    <row r="286" spans="2:3" x14ac:dyDescent="0.25">
      <c r="B286" s="1"/>
      <c r="C286" s="1"/>
    </row>
    <row r="287" spans="2:3" x14ac:dyDescent="0.25">
      <c r="B287" s="1"/>
      <c r="C287" s="1"/>
    </row>
    <row r="288" spans="2:3" x14ac:dyDescent="0.25">
      <c r="B288" s="1"/>
      <c r="C288" s="1"/>
    </row>
    <row r="289" spans="2:3" x14ac:dyDescent="0.25">
      <c r="B289" s="1"/>
      <c r="C289" s="1"/>
    </row>
    <row r="290" spans="2:3" x14ac:dyDescent="0.25">
      <c r="B290" s="1"/>
      <c r="C290" s="1"/>
    </row>
    <row r="291" spans="2:3" x14ac:dyDescent="0.25">
      <c r="B291" s="1"/>
      <c r="C291" s="1"/>
    </row>
    <row r="292" spans="2:3" x14ac:dyDescent="0.25">
      <c r="B292" s="1"/>
      <c r="C292" s="1"/>
    </row>
    <row r="293" spans="2:3" x14ac:dyDescent="0.25">
      <c r="B293" s="1"/>
      <c r="C293" s="1"/>
    </row>
    <row r="294" spans="2:3" x14ac:dyDescent="0.25">
      <c r="B294" s="1"/>
      <c r="C294" s="1"/>
    </row>
    <row r="295" spans="2:3" x14ac:dyDescent="0.25">
      <c r="B295" s="1"/>
      <c r="C295" s="1"/>
    </row>
    <row r="296" spans="2:3" x14ac:dyDescent="0.25">
      <c r="B296" s="1"/>
      <c r="C296" s="1"/>
    </row>
    <row r="297" spans="2:3" x14ac:dyDescent="0.25">
      <c r="B297" s="1"/>
      <c r="C297" s="1"/>
    </row>
    <row r="298" spans="2:3" x14ac:dyDescent="0.25">
      <c r="B298" s="1"/>
      <c r="C298" s="1"/>
    </row>
    <row r="299" spans="2:3" x14ac:dyDescent="0.25">
      <c r="B299" s="1"/>
      <c r="C299" s="1"/>
    </row>
    <row r="300" spans="2:3" x14ac:dyDescent="0.25">
      <c r="B300" s="1"/>
      <c r="C300" s="1"/>
    </row>
    <row r="301" spans="2:3" x14ac:dyDescent="0.25">
      <c r="B301" s="1"/>
      <c r="C301" s="1"/>
    </row>
    <row r="302" spans="2:3" x14ac:dyDescent="0.25">
      <c r="B302" s="1"/>
      <c r="C302" s="1"/>
    </row>
    <row r="303" spans="2:3" x14ac:dyDescent="0.25">
      <c r="B303" s="1"/>
      <c r="C303" s="1"/>
    </row>
    <row r="304" spans="2:3" x14ac:dyDescent="0.25">
      <c r="B304" s="1"/>
      <c r="C304" s="1"/>
    </row>
    <row r="305" spans="2:3" x14ac:dyDescent="0.25">
      <c r="B305" s="1"/>
      <c r="C305" s="1"/>
    </row>
    <row r="306" spans="2:3" x14ac:dyDescent="0.25">
      <c r="B306" s="1"/>
      <c r="C306" s="1"/>
    </row>
    <row r="307" spans="2:3" x14ac:dyDescent="0.25">
      <c r="B307" s="1"/>
      <c r="C307" s="1"/>
    </row>
    <row r="308" spans="2:3" x14ac:dyDescent="0.25">
      <c r="B308" s="1"/>
      <c r="C308" s="1"/>
    </row>
    <row r="309" spans="2:3" x14ac:dyDescent="0.25">
      <c r="B309" s="1"/>
      <c r="C309" s="1"/>
    </row>
    <row r="310" spans="2:3" x14ac:dyDescent="0.25">
      <c r="B310" s="1"/>
      <c r="C310" s="1"/>
    </row>
    <row r="311" spans="2:3" x14ac:dyDescent="0.25">
      <c r="B311" s="1"/>
      <c r="C311" s="1"/>
    </row>
    <row r="312" spans="2:3" x14ac:dyDescent="0.25">
      <c r="B312" s="1"/>
      <c r="C312" s="1"/>
    </row>
    <row r="313" spans="2:3" x14ac:dyDescent="0.25">
      <c r="B313" s="1"/>
      <c r="C313" s="1"/>
    </row>
    <row r="314" spans="2:3" x14ac:dyDescent="0.25">
      <c r="B314" s="1"/>
      <c r="C314" s="1"/>
    </row>
    <row r="315" spans="2:3" x14ac:dyDescent="0.25">
      <c r="B315" s="1"/>
      <c r="C315" s="1"/>
    </row>
    <row r="316" spans="2:3" x14ac:dyDescent="0.25">
      <c r="B316" s="1"/>
      <c r="C316" s="1"/>
    </row>
    <row r="317" spans="2:3" x14ac:dyDescent="0.25">
      <c r="B317" s="1"/>
      <c r="C317" s="1"/>
    </row>
    <row r="318" spans="2:3" x14ac:dyDescent="0.25">
      <c r="B318" s="1"/>
      <c r="C318" s="1"/>
    </row>
    <row r="319" spans="2:3" x14ac:dyDescent="0.25">
      <c r="B319" s="1"/>
      <c r="C319" s="1"/>
    </row>
    <row r="320" spans="2:3" x14ac:dyDescent="0.25">
      <c r="B320" s="1"/>
      <c r="C320" s="1"/>
    </row>
    <row r="321" spans="2:3" x14ac:dyDescent="0.25">
      <c r="B321" s="1"/>
      <c r="C321" s="1"/>
    </row>
    <row r="322" spans="2:3" x14ac:dyDescent="0.25">
      <c r="B322" s="1"/>
      <c r="C322" s="1"/>
    </row>
    <row r="323" spans="2:3" x14ac:dyDescent="0.25">
      <c r="B323" s="1"/>
      <c r="C323" s="1"/>
    </row>
    <row r="324" spans="2:3" x14ac:dyDescent="0.25">
      <c r="B324" s="1"/>
      <c r="C324" s="1"/>
    </row>
    <row r="325" spans="2:3" x14ac:dyDescent="0.25">
      <c r="B325" s="1"/>
      <c r="C325" s="1"/>
    </row>
    <row r="326" spans="2:3" x14ac:dyDescent="0.25">
      <c r="B326" s="1"/>
      <c r="C326" s="1"/>
    </row>
    <row r="327" spans="2:3" x14ac:dyDescent="0.25">
      <c r="B327" s="1"/>
      <c r="C327" s="1"/>
    </row>
    <row r="328" spans="2:3" x14ac:dyDescent="0.25">
      <c r="B328" s="1"/>
      <c r="C328" s="1"/>
    </row>
    <row r="329" spans="2:3" x14ac:dyDescent="0.25">
      <c r="B329" s="1"/>
      <c r="C329" s="1"/>
    </row>
    <row r="330" spans="2:3" x14ac:dyDescent="0.25">
      <c r="B330" s="1"/>
      <c r="C330" s="1"/>
    </row>
    <row r="331" spans="2:3" x14ac:dyDescent="0.25">
      <c r="B331" s="1"/>
      <c r="C331" s="1"/>
    </row>
    <row r="332" spans="2:3" x14ac:dyDescent="0.25">
      <c r="B332" s="1"/>
      <c r="C332" s="1"/>
    </row>
    <row r="333" spans="2:3" x14ac:dyDescent="0.25">
      <c r="B333" s="1"/>
      <c r="C333" s="1"/>
    </row>
    <row r="334" spans="2:3" x14ac:dyDescent="0.25">
      <c r="B334" s="1"/>
      <c r="C334" s="1"/>
    </row>
    <row r="335" spans="2:3" x14ac:dyDescent="0.25">
      <c r="B335" s="1"/>
      <c r="C335" s="1"/>
    </row>
    <row r="336" spans="2:3" x14ac:dyDescent="0.25">
      <c r="B336" s="1"/>
      <c r="C336" s="1"/>
    </row>
    <row r="337" spans="2:3" x14ac:dyDescent="0.25">
      <c r="B337" s="1"/>
      <c r="C337" s="1"/>
    </row>
    <row r="338" spans="2:3" x14ac:dyDescent="0.25">
      <c r="B338" s="1"/>
      <c r="C338" s="1"/>
    </row>
    <row r="339" spans="2:3" x14ac:dyDescent="0.25">
      <c r="B339" s="1"/>
      <c r="C339" s="1"/>
    </row>
    <row r="340" spans="2:3" x14ac:dyDescent="0.25">
      <c r="B340" s="1"/>
      <c r="C340" s="1"/>
    </row>
    <row r="341" spans="2:3" x14ac:dyDescent="0.25">
      <c r="B341" s="1"/>
      <c r="C341" s="1"/>
    </row>
    <row r="342" spans="2:3" x14ac:dyDescent="0.25">
      <c r="B342" s="1"/>
      <c r="C342" s="1"/>
    </row>
    <row r="343" spans="2:3" x14ac:dyDescent="0.25">
      <c r="B343" s="1"/>
      <c r="C343" s="1"/>
    </row>
    <row r="344" spans="2:3" x14ac:dyDescent="0.25">
      <c r="B344" s="1"/>
      <c r="C344" s="1"/>
    </row>
    <row r="345" spans="2:3" x14ac:dyDescent="0.25">
      <c r="B345" s="1"/>
      <c r="C345" s="1"/>
    </row>
    <row r="346" spans="2:3" x14ac:dyDescent="0.25">
      <c r="B346" s="1"/>
      <c r="C346" s="1"/>
    </row>
    <row r="347" spans="2:3" x14ac:dyDescent="0.25">
      <c r="B347" s="1"/>
      <c r="C347" s="1"/>
    </row>
    <row r="348" spans="2:3" x14ac:dyDescent="0.25">
      <c r="B348" s="1"/>
      <c r="C348" s="1"/>
    </row>
    <row r="349" spans="2:3" x14ac:dyDescent="0.25">
      <c r="B349" s="1"/>
      <c r="C349" s="1"/>
    </row>
    <row r="350" spans="2:3" x14ac:dyDescent="0.25">
      <c r="B350" s="1"/>
      <c r="C350" s="1"/>
    </row>
    <row r="351" spans="2:3" x14ac:dyDescent="0.25">
      <c r="B351" s="1"/>
      <c r="C351" s="1"/>
    </row>
    <row r="352" spans="2:3" x14ac:dyDescent="0.25">
      <c r="B352" s="1"/>
      <c r="C352" s="1"/>
    </row>
    <row r="353" spans="2:3" x14ac:dyDescent="0.25">
      <c r="B353" s="1"/>
      <c r="C353" s="1"/>
    </row>
    <row r="354" spans="2:3" x14ac:dyDescent="0.25">
      <c r="B354" s="1"/>
      <c r="C354" s="1"/>
    </row>
    <row r="355" spans="2:3" x14ac:dyDescent="0.25">
      <c r="B355" s="1"/>
      <c r="C355" s="1"/>
    </row>
    <row r="356" spans="2:3" x14ac:dyDescent="0.25">
      <c r="B356" s="1"/>
      <c r="C356" s="1"/>
    </row>
    <row r="357" spans="2:3" x14ac:dyDescent="0.25">
      <c r="B357" s="1"/>
      <c r="C357" s="1"/>
    </row>
    <row r="358" spans="2:3" x14ac:dyDescent="0.25">
      <c r="B358" s="1"/>
      <c r="C358" s="1"/>
    </row>
    <row r="359" spans="2:3" x14ac:dyDescent="0.25">
      <c r="B359" s="1"/>
      <c r="C359" s="1"/>
    </row>
    <row r="360" spans="2:3" x14ac:dyDescent="0.25">
      <c r="B360" s="1"/>
      <c r="C360" s="1"/>
    </row>
    <row r="361" spans="2:3" x14ac:dyDescent="0.25">
      <c r="B361" s="1"/>
      <c r="C361" s="1"/>
    </row>
    <row r="362" spans="2:3" x14ac:dyDescent="0.25">
      <c r="B362" s="1"/>
      <c r="C362" s="1"/>
    </row>
    <row r="363" spans="2:3" x14ac:dyDescent="0.25">
      <c r="B363" s="1"/>
      <c r="C363" s="1"/>
    </row>
    <row r="364" spans="2:3" x14ac:dyDescent="0.25">
      <c r="B364" s="1"/>
      <c r="C364" s="1"/>
    </row>
    <row r="365" spans="2:3" x14ac:dyDescent="0.25">
      <c r="B365" s="1"/>
      <c r="C365" s="1"/>
    </row>
    <row r="366" spans="2:3" x14ac:dyDescent="0.25">
      <c r="B366" s="1"/>
      <c r="C366" s="1"/>
    </row>
    <row r="367" spans="2:3" x14ac:dyDescent="0.25">
      <c r="B367" s="1"/>
      <c r="C367" s="1"/>
    </row>
    <row r="368" spans="2:3" x14ac:dyDescent="0.25">
      <c r="B368" s="1"/>
      <c r="C368" s="1"/>
    </row>
    <row r="369" spans="2:3" x14ac:dyDescent="0.25">
      <c r="B369" s="1"/>
      <c r="C369" s="1"/>
    </row>
    <row r="370" spans="2:3" x14ac:dyDescent="0.25">
      <c r="B370" s="1"/>
      <c r="C370" s="1"/>
    </row>
    <row r="371" spans="2:3" x14ac:dyDescent="0.25">
      <c r="B371" s="1"/>
      <c r="C371" s="1"/>
    </row>
    <row r="372" spans="2:3" x14ac:dyDescent="0.25">
      <c r="B372" s="1"/>
      <c r="C372" s="1"/>
    </row>
    <row r="373" spans="2:3" x14ac:dyDescent="0.25">
      <c r="B373" s="1"/>
      <c r="C373" s="1"/>
    </row>
    <row r="374" spans="2:3" x14ac:dyDescent="0.25">
      <c r="B374" s="1"/>
      <c r="C374" s="1"/>
    </row>
    <row r="375" spans="2:3" x14ac:dyDescent="0.25">
      <c r="B375" s="1"/>
      <c r="C375" s="1"/>
    </row>
    <row r="376" spans="2:3" x14ac:dyDescent="0.25">
      <c r="B376" s="1"/>
      <c r="C376" s="1"/>
    </row>
    <row r="377" spans="2:3" x14ac:dyDescent="0.25">
      <c r="B377" s="1"/>
      <c r="C377" s="1"/>
    </row>
    <row r="378" spans="2:3" x14ac:dyDescent="0.25">
      <c r="B378" s="1"/>
      <c r="C378" s="1"/>
    </row>
    <row r="379" spans="2:3" x14ac:dyDescent="0.25">
      <c r="B379" s="1"/>
      <c r="C379" s="1"/>
    </row>
    <row r="380" spans="2:3" x14ac:dyDescent="0.25">
      <c r="B380" s="1"/>
      <c r="C380" s="1"/>
    </row>
    <row r="381" spans="2:3" x14ac:dyDescent="0.25">
      <c r="B381" s="1"/>
      <c r="C381" s="1"/>
    </row>
  </sheetData>
  <mergeCells count="1">
    <mergeCell ref="C1:D1"/>
  </mergeCells>
  <conditionalFormatting sqref="B10:B110">
    <cfRule type="cellIs" dxfId="1" priority="2" operator="lessThanOrEqual">
      <formula>$G$3</formula>
    </cfRule>
  </conditionalFormatting>
  <conditionalFormatting sqref="C10:C110">
    <cfRule type="expression" dxfId="0" priority="1">
      <formula>B10&lt;=$G$3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quartil">
              <controlPr locked="0" defaultSize="0" autoLine="0" autoPict="0" macro="[0]!quartil_Alteração">
                <anchor moveWithCells="1">
                  <from>
                    <xdr:col>2</xdr:col>
                    <xdr:colOff>9525</xdr:colOff>
                    <xdr:row>1</xdr:row>
                    <xdr:rowOff>133350</xdr:rowOff>
                  </from>
                  <to>
                    <xdr:col>3</xdr:col>
                    <xdr:colOff>438150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curva">
              <controlPr locked="0" defaultSize="0" autoLine="0" autoPict="0">
                <anchor moveWithCells="1">
                  <from>
                    <xdr:col>2</xdr:col>
                    <xdr:colOff>19050</xdr:colOff>
                    <xdr:row>3</xdr:row>
                    <xdr:rowOff>38100</xdr:rowOff>
                  </from>
                  <to>
                    <xdr:col>3</xdr:col>
                    <xdr:colOff>447675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286E-E587-42B2-8ECF-C635D693B51A}">
  <sheetPr codeName="Planilha2"/>
  <dimension ref="A1:I25"/>
  <sheetViews>
    <sheetView topLeftCell="A7" workbookViewId="0">
      <selection activeCell="M21" sqref="M21"/>
    </sheetView>
  </sheetViews>
  <sheetFormatPr defaultRowHeight="15" x14ac:dyDescent="0.25"/>
  <cols>
    <col min="1" max="1" width="29.140625" bestFit="1" customWidth="1"/>
    <col min="2" max="2" width="12.28515625" bestFit="1" customWidth="1"/>
    <col min="3" max="3" width="14.7109375" bestFit="1" customWidth="1"/>
    <col min="4" max="4" width="12.85546875" bestFit="1" customWidth="1"/>
    <col min="5" max="5" width="14.140625" bestFit="1" customWidth="1"/>
    <col min="22" max="22" width="35" bestFit="1" customWidth="1"/>
    <col min="23" max="23" width="14.5703125" customWidth="1"/>
    <col min="24" max="24" width="17" bestFit="1" customWidth="1"/>
    <col min="25" max="25" width="17" customWidth="1"/>
    <col min="26" max="26" width="16.7109375" bestFit="1" customWidth="1"/>
  </cols>
  <sheetData>
    <row r="1" spans="1:9" ht="18.75" customHeight="1" x14ac:dyDescent="0.25">
      <c r="A1" s="35" t="s">
        <v>20</v>
      </c>
      <c r="B1" s="35"/>
      <c r="C1" s="35"/>
      <c r="D1" s="35"/>
      <c r="E1" s="35"/>
      <c r="F1" s="18"/>
      <c r="G1" s="18"/>
    </row>
    <row r="2" spans="1:9" x14ac:dyDescent="0.25">
      <c r="A2" s="16" t="s">
        <v>19</v>
      </c>
      <c r="B2" s="44" t="s">
        <v>37</v>
      </c>
      <c r="C2" s="44" t="s">
        <v>38</v>
      </c>
      <c r="D2" s="44" t="s">
        <v>39</v>
      </c>
      <c r="E2" s="44" t="s">
        <v>40</v>
      </c>
      <c r="F2" s="15"/>
    </row>
    <row r="3" spans="1:9" x14ac:dyDescent="0.25">
      <c r="A3" s="23">
        <v>0</v>
      </c>
      <c r="B3" s="23">
        <v>0</v>
      </c>
      <c r="C3" s="23">
        <v>0</v>
      </c>
      <c r="D3" s="23">
        <v>0</v>
      </c>
      <c r="E3" s="23">
        <v>0</v>
      </c>
      <c r="F3" s="25">
        <v>0</v>
      </c>
      <c r="G3" s="25">
        <v>0</v>
      </c>
      <c r="H3" s="25">
        <v>0</v>
      </c>
      <c r="I3" s="25">
        <v>0</v>
      </c>
    </row>
    <row r="4" spans="1:9" x14ac:dyDescent="0.25">
      <c r="A4" s="17">
        <v>5</v>
      </c>
      <c r="B4" s="17">
        <v>16</v>
      </c>
      <c r="C4" s="17">
        <v>3</v>
      </c>
      <c r="D4" s="17">
        <v>3</v>
      </c>
      <c r="E4" s="17">
        <v>2</v>
      </c>
      <c r="F4" s="30">
        <f>B4-B3</f>
        <v>16</v>
      </c>
      <c r="G4" s="30">
        <f t="shared" ref="G4:I19" si="0">C4-C3</f>
        <v>3</v>
      </c>
      <c r="H4" s="30">
        <f t="shared" si="0"/>
        <v>3</v>
      </c>
      <c r="I4" s="30">
        <f t="shared" si="0"/>
        <v>2</v>
      </c>
    </row>
    <row r="5" spans="1:9" x14ac:dyDescent="0.25">
      <c r="A5" s="17">
        <v>10</v>
      </c>
      <c r="B5" s="17">
        <v>33</v>
      </c>
      <c r="C5" s="17">
        <v>8</v>
      </c>
      <c r="D5" s="17">
        <v>6</v>
      </c>
      <c r="E5" s="17">
        <v>5</v>
      </c>
      <c r="F5" s="30">
        <f t="shared" ref="F5:I23" si="1">B5-B4</f>
        <v>17</v>
      </c>
      <c r="G5" s="30">
        <f t="shared" si="0"/>
        <v>5</v>
      </c>
      <c r="H5" s="30">
        <f t="shared" si="0"/>
        <v>3</v>
      </c>
      <c r="I5" s="30">
        <f t="shared" si="0"/>
        <v>3</v>
      </c>
    </row>
    <row r="6" spans="1:9" x14ac:dyDescent="0.25">
      <c r="A6" s="17">
        <v>15</v>
      </c>
      <c r="B6" s="17">
        <v>43</v>
      </c>
      <c r="C6" s="17">
        <v>12</v>
      </c>
      <c r="D6" s="17">
        <v>9</v>
      </c>
      <c r="E6" s="17">
        <v>8</v>
      </c>
      <c r="F6" s="30">
        <f t="shared" si="1"/>
        <v>10</v>
      </c>
      <c r="G6" s="30">
        <f t="shared" si="0"/>
        <v>4</v>
      </c>
      <c r="H6" s="30">
        <f t="shared" si="0"/>
        <v>3</v>
      </c>
      <c r="I6" s="30">
        <f t="shared" si="0"/>
        <v>3</v>
      </c>
    </row>
    <row r="7" spans="1:9" x14ac:dyDescent="0.25">
      <c r="A7" s="17">
        <v>20</v>
      </c>
      <c r="B7" s="17">
        <v>52</v>
      </c>
      <c r="C7" s="17">
        <v>16</v>
      </c>
      <c r="D7" s="17">
        <v>12</v>
      </c>
      <c r="E7" s="17">
        <v>10</v>
      </c>
      <c r="F7" s="30">
        <f t="shared" si="1"/>
        <v>9</v>
      </c>
      <c r="G7" s="30">
        <f t="shared" si="0"/>
        <v>4</v>
      </c>
      <c r="H7" s="30">
        <f t="shared" si="0"/>
        <v>3</v>
      </c>
      <c r="I7" s="30">
        <f t="shared" si="0"/>
        <v>2</v>
      </c>
    </row>
    <row r="8" spans="1:9" x14ac:dyDescent="0.25">
      <c r="A8" s="19">
        <v>25</v>
      </c>
      <c r="B8" s="17">
        <v>60</v>
      </c>
      <c r="C8" s="17">
        <v>22</v>
      </c>
      <c r="D8" s="17">
        <v>15</v>
      </c>
      <c r="E8" s="17">
        <v>13</v>
      </c>
      <c r="F8" s="30">
        <f t="shared" si="1"/>
        <v>8</v>
      </c>
      <c r="G8" s="30">
        <f t="shared" si="0"/>
        <v>6</v>
      </c>
      <c r="H8" s="30">
        <f t="shared" si="0"/>
        <v>3</v>
      </c>
      <c r="I8" s="30">
        <f t="shared" si="0"/>
        <v>3</v>
      </c>
    </row>
    <row r="9" spans="1:9" x14ac:dyDescent="0.25">
      <c r="A9" s="17">
        <v>30</v>
      </c>
      <c r="B9" s="17">
        <v>66</v>
      </c>
      <c r="C9" s="17">
        <v>29</v>
      </c>
      <c r="D9" s="17">
        <v>19</v>
      </c>
      <c r="E9" s="17">
        <v>16</v>
      </c>
      <c r="F9" s="30">
        <f t="shared" si="1"/>
        <v>6</v>
      </c>
      <c r="G9" s="30">
        <f t="shared" si="0"/>
        <v>7</v>
      </c>
      <c r="H9" s="30">
        <f t="shared" si="0"/>
        <v>4</v>
      </c>
      <c r="I9" s="30">
        <f t="shared" si="0"/>
        <v>3</v>
      </c>
    </row>
    <row r="10" spans="1:9" x14ac:dyDescent="0.25">
      <c r="A10" s="17">
        <v>35</v>
      </c>
      <c r="B10" s="17">
        <v>71</v>
      </c>
      <c r="C10" s="17">
        <v>39</v>
      </c>
      <c r="D10" s="17">
        <v>23</v>
      </c>
      <c r="E10" s="17">
        <v>19</v>
      </c>
      <c r="F10" s="30">
        <f t="shared" si="1"/>
        <v>5</v>
      </c>
      <c r="G10" s="30">
        <f t="shared" si="0"/>
        <v>10</v>
      </c>
      <c r="H10" s="30">
        <f t="shared" si="0"/>
        <v>4</v>
      </c>
      <c r="I10" s="30">
        <f t="shared" si="0"/>
        <v>3</v>
      </c>
    </row>
    <row r="11" spans="1:9" x14ac:dyDescent="0.25">
      <c r="A11" s="17">
        <v>40</v>
      </c>
      <c r="B11" s="17">
        <v>75</v>
      </c>
      <c r="C11" s="17">
        <v>51</v>
      </c>
      <c r="D11" s="17">
        <v>27</v>
      </c>
      <c r="E11" s="17">
        <v>22</v>
      </c>
      <c r="F11" s="30">
        <f t="shared" si="1"/>
        <v>4</v>
      </c>
      <c r="G11" s="30">
        <f t="shared" si="0"/>
        <v>12</v>
      </c>
      <c r="H11" s="30">
        <f t="shared" si="0"/>
        <v>4</v>
      </c>
      <c r="I11" s="30">
        <f t="shared" si="0"/>
        <v>3</v>
      </c>
    </row>
    <row r="12" spans="1:9" x14ac:dyDescent="0.25">
      <c r="A12" s="17">
        <v>45</v>
      </c>
      <c r="B12" s="17">
        <v>79</v>
      </c>
      <c r="C12" s="17">
        <v>62</v>
      </c>
      <c r="D12" s="17">
        <v>32</v>
      </c>
      <c r="E12" s="17">
        <v>25</v>
      </c>
      <c r="F12" s="30">
        <f t="shared" si="1"/>
        <v>4</v>
      </c>
      <c r="G12" s="30">
        <f t="shared" si="0"/>
        <v>11</v>
      </c>
      <c r="H12" s="30">
        <f t="shared" si="0"/>
        <v>5</v>
      </c>
      <c r="I12" s="30">
        <f t="shared" si="0"/>
        <v>3</v>
      </c>
    </row>
    <row r="13" spans="1:9" x14ac:dyDescent="0.25">
      <c r="A13" s="17">
        <v>50</v>
      </c>
      <c r="B13" s="17">
        <v>82</v>
      </c>
      <c r="C13" s="17">
        <v>70</v>
      </c>
      <c r="D13" s="17">
        <v>38</v>
      </c>
      <c r="E13" s="17">
        <v>28</v>
      </c>
      <c r="F13" s="30">
        <f t="shared" si="1"/>
        <v>3</v>
      </c>
      <c r="G13" s="30">
        <f t="shared" si="0"/>
        <v>8</v>
      </c>
      <c r="H13" s="30">
        <f t="shared" si="0"/>
        <v>6</v>
      </c>
      <c r="I13" s="30">
        <f t="shared" si="0"/>
        <v>3</v>
      </c>
    </row>
    <row r="14" spans="1:9" x14ac:dyDescent="0.25">
      <c r="A14" s="17">
        <v>55</v>
      </c>
      <c r="B14" s="17">
        <v>84</v>
      </c>
      <c r="C14" s="17">
        <v>76</v>
      </c>
      <c r="D14" s="17">
        <v>45</v>
      </c>
      <c r="E14" s="17">
        <v>32</v>
      </c>
      <c r="F14" s="30">
        <f t="shared" si="1"/>
        <v>2</v>
      </c>
      <c r="G14" s="30">
        <f t="shared" si="0"/>
        <v>6</v>
      </c>
      <c r="H14" s="30">
        <f t="shared" si="0"/>
        <v>7</v>
      </c>
      <c r="I14" s="30">
        <f t="shared" si="0"/>
        <v>4</v>
      </c>
    </row>
    <row r="15" spans="1:9" x14ac:dyDescent="0.25">
      <c r="A15" s="17">
        <v>60</v>
      </c>
      <c r="B15" s="17">
        <v>86</v>
      </c>
      <c r="C15" s="17">
        <v>81</v>
      </c>
      <c r="D15" s="17">
        <v>57</v>
      </c>
      <c r="E15" s="17">
        <v>35</v>
      </c>
      <c r="F15" s="30">
        <f t="shared" si="1"/>
        <v>2</v>
      </c>
      <c r="G15" s="30">
        <f t="shared" si="0"/>
        <v>5</v>
      </c>
      <c r="H15" s="30">
        <f t="shared" si="0"/>
        <v>12</v>
      </c>
      <c r="I15" s="30">
        <f t="shared" si="0"/>
        <v>3</v>
      </c>
    </row>
    <row r="16" spans="1:9" x14ac:dyDescent="0.25">
      <c r="A16" s="17">
        <v>65</v>
      </c>
      <c r="B16" s="17">
        <v>88</v>
      </c>
      <c r="C16" s="17">
        <v>85</v>
      </c>
      <c r="D16" s="17">
        <v>70</v>
      </c>
      <c r="E16" s="17">
        <v>39</v>
      </c>
      <c r="F16" s="30">
        <f t="shared" si="1"/>
        <v>2</v>
      </c>
      <c r="G16" s="30">
        <f t="shared" si="0"/>
        <v>4</v>
      </c>
      <c r="H16" s="30">
        <f t="shared" si="0"/>
        <v>13</v>
      </c>
      <c r="I16" s="30">
        <f t="shared" si="0"/>
        <v>4</v>
      </c>
    </row>
    <row r="17" spans="1:9" x14ac:dyDescent="0.25">
      <c r="A17" s="17">
        <v>70</v>
      </c>
      <c r="B17" s="17">
        <v>90</v>
      </c>
      <c r="C17" s="17">
        <v>88</v>
      </c>
      <c r="D17" s="17">
        <v>79</v>
      </c>
      <c r="E17" s="17">
        <v>45</v>
      </c>
      <c r="F17" s="30">
        <f t="shared" si="1"/>
        <v>2</v>
      </c>
      <c r="G17" s="30">
        <f t="shared" si="0"/>
        <v>3</v>
      </c>
      <c r="H17" s="30">
        <f t="shared" si="0"/>
        <v>9</v>
      </c>
      <c r="I17" s="30">
        <f t="shared" si="0"/>
        <v>6</v>
      </c>
    </row>
    <row r="18" spans="1:9" x14ac:dyDescent="0.25">
      <c r="A18" s="17">
        <v>75</v>
      </c>
      <c r="B18" s="17">
        <v>92</v>
      </c>
      <c r="C18" s="17">
        <v>91</v>
      </c>
      <c r="D18" s="17">
        <v>85</v>
      </c>
      <c r="E18" s="17">
        <v>51</v>
      </c>
      <c r="F18" s="30">
        <f t="shared" si="1"/>
        <v>2</v>
      </c>
      <c r="G18" s="30">
        <f t="shared" si="0"/>
        <v>3</v>
      </c>
      <c r="H18" s="30">
        <f t="shared" si="0"/>
        <v>6</v>
      </c>
      <c r="I18" s="30">
        <f t="shared" si="0"/>
        <v>6</v>
      </c>
    </row>
    <row r="19" spans="1:9" x14ac:dyDescent="0.25">
      <c r="A19" s="17">
        <v>80</v>
      </c>
      <c r="B19" s="17">
        <v>94</v>
      </c>
      <c r="C19" s="17">
        <v>93</v>
      </c>
      <c r="D19" s="17">
        <v>89</v>
      </c>
      <c r="E19" s="17">
        <v>59</v>
      </c>
      <c r="F19" s="30">
        <f t="shared" si="1"/>
        <v>2</v>
      </c>
      <c r="G19" s="30">
        <f t="shared" si="0"/>
        <v>2</v>
      </c>
      <c r="H19" s="30">
        <f t="shared" si="0"/>
        <v>4</v>
      </c>
      <c r="I19" s="30">
        <f t="shared" si="0"/>
        <v>8</v>
      </c>
    </row>
    <row r="20" spans="1:9" x14ac:dyDescent="0.25">
      <c r="A20" s="17">
        <v>85</v>
      </c>
      <c r="B20" s="17">
        <v>96</v>
      </c>
      <c r="C20" s="17">
        <v>95</v>
      </c>
      <c r="D20" s="17">
        <v>92</v>
      </c>
      <c r="E20" s="17">
        <v>72</v>
      </c>
      <c r="F20" s="30">
        <f t="shared" si="1"/>
        <v>2</v>
      </c>
      <c r="G20" s="30">
        <f t="shared" si="1"/>
        <v>2</v>
      </c>
      <c r="H20" s="30">
        <f t="shared" si="1"/>
        <v>3</v>
      </c>
      <c r="I20" s="30">
        <f t="shared" si="1"/>
        <v>13</v>
      </c>
    </row>
    <row r="21" spans="1:9" x14ac:dyDescent="0.25">
      <c r="A21" s="17">
        <v>90</v>
      </c>
      <c r="B21" s="17">
        <v>97</v>
      </c>
      <c r="C21" s="17">
        <v>97</v>
      </c>
      <c r="D21" s="17">
        <v>95</v>
      </c>
      <c r="E21" s="17">
        <v>84</v>
      </c>
      <c r="F21" s="30">
        <f t="shared" si="1"/>
        <v>1</v>
      </c>
      <c r="G21" s="30">
        <f t="shared" si="1"/>
        <v>2</v>
      </c>
      <c r="H21" s="30">
        <f t="shared" si="1"/>
        <v>3</v>
      </c>
      <c r="I21" s="30">
        <f t="shared" si="1"/>
        <v>12</v>
      </c>
    </row>
    <row r="22" spans="1:9" x14ac:dyDescent="0.25">
      <c r="A22" s="17">
        <v>95</v>
      </c>
      <c r="B22" s="17">
        <v>98</v>
      </c>
      <c r="C22" s="17">
        <v>98</v>
      </c>
      <c r="D22" s="17">
        <v>97</v>
      </c>
      <c r="E22" s="17">
        <v>92</v>
      </c>
      <c r="F22" s="30">
        <f t="shared" si="1"/>
        <v>1</v>
      </c>
      <c r="G22" s="30">
        <f t="shared" si="1"/>
        <v>1</v>
      </c>
      <c r="H22" s="30">
        <f t="shared" si="1"/>
        <v>2</v>
      </c>
      <c r="I22" s="30">
        <f t="shared" si="1"/>
        <v>8</v>
      </c>
    </row>
    <row r="23" spans="1:9" x14ac:dyDescent="0.25">
      <c r="A23" s="24">
        <v>100</v>
      </c>
      <c r="B23" s="24">
        <v>100</v>
      </c>
      <c r="C23" s="24">
        <v>100</v>
      </c>
      <c r="D23" s="24">
        <v>100</v>
      </c>
      <c r="E23" s="24">
        <v>100</v>
      </c>
      <c r="F23" s="30">
        <f t="shared" si="1"/>
        <v>2</v>
      </c>
      <c r="G23" s="30">
        <f t="shared" si="1"/>
        <v>2</v>
      </c>
      <c r="H23" s="30">
        <f t="shared" si="1"/>
        <v>3</v>
      </c>
      <c r="I23" s="30">
        <f t="shared" si="1"/>
        <v>8</v>
      </c>
    </row>
    <row r="24" spans="1:9" x14ac:dyDescent="0.25">
      <c r="A24" s="13"/>
      <c r="B24" s="13"/>
      <c r="C24" s="13"/>
      <c r="D24" s="13"/>
      <c r="E24" s="13"/>
    </row>
    <row r="25" spans="1:9" ht="18.75" x14ac:dyDescent="0.25">
      <c r="A25" s="4"/>
      <c r="B25" s="4"/>
      <c r="C25" s="4"/>
      <c r="D25" s="4"/>
      <c r="E25" s="4"/>
    </row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6611-8309-4DB5-9C95-B4C0C5CD912C}">
  <sheetPr codeName="Planilha4"/>
  <dimension ref="A1:I24"/>
  <sheetViews>
    <sheetView workbookViewId="0">
      <selection activeCell="B3" sqref="B3:E24"/>
    </sheetView>
  </sheetViews>
  <sheetFormatPr defaultRowHeight="15" x14ac:dyDescent="0.25"/>
  <cols>
    <col min="1" max="1" width="29.140625" bestFit="1" customWidth="1"/>
    <col min="2" max="2" width="13.7109375" bestFit="1" customWidth="1"/>
    <col min="3" max="3" width="17" bestFit="1" customWidth="1"/>
    <col min="4" max="4" width="15.5703125" bestFit="1" customWidth="1"/>
    <col min="5" max="5" width="16.7109375" bestFit="1" customWidth="1"/>
  </cols>
  <sheetData>
    <row r="1" spans="1:9" ht="15" customHeight="1" x14ac:dyDescent="0.25">
      <c r="A1" s="38" t="s">
        <v>21</v>
      </c>
      <c r="B1" s="38"/>
      <c r="C1" s="38"/>
      <c r="D1" s="38"/>
      <c r="E1" s="38"/>
      <c r="F1" s="26"/>
    </row>
    <row r="2" spans="1:9" ht="15" customHeight="1" x14ac:dyDescent="0.25">
      <c r="A2" s="37" t="s">
        <v>19</v>
      </c>
      <c r="B2" s="36" t="s">
        <v>14</v>
      </c>
      <c r="C2" s="36"/>
      <c r="D2" s="36"/>
      <c r="E2" s="36"/>
      <c r="F2" s="27"/>
    </row>
    <row r="3" spans="1:9" x14ac:dyDescent="0.25">
      <c r="A3" s="37"/>
      <c r="B3" s="44" t="s">
        <v>37</v>
      </c>
      <c r="C3" s="44" t="s">
        <v>38</v>
      </c>
      <c r="D3" s="44" t="s">
        <v>39</v>
      </c>
      <c r="E3" s="44" t="s">
        <v>40</v>
      </c>
      <c r="F3" s="22"/>
    </row>
    <row r="4" spans="1:9" x14ac:dyDescent="0.25">
      <c r="A4" s="25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</row>
    <row r="5" spans="1:9" x14ac:dyDescent="0.25">
      <c r="A5" s="24">
        <v>5</v>
      </c>
      <c r="B5" s="24">
        <v>12</v>
      </c>
      <c r="C5" s="24">
        <v>3</v>
      </c>
      <c r="D5" s="24">
        <v>2</v>
      </c>
      <c r="E5" s="24">
        <v>2</v>
      </c>
      <c r="F5" s="30">
        <f>B5-B4</f>
        <v>12</v>
      </c>
      <c r="G5" s="30">
        <f t="shared" ref="G5:I20" si="0">C5-C4</f>
        <v>3</v>
      </c>
      <c r="H5" s="30">
        <f t="shared" si="0"/>
        <v>2</v>
      </c>
      <c r="I5" s="30">
        <f t="shared" si="0"/>
        <v>2</v>
      </c>
    </row>
    <row r="6" spans="1:9" x14ac:dyDescent="0.25">
      <c r="A6" s="24">
        <v>10</v>
      </c>
      <c r="B6" s="24">
        <v>25</v>
      </c>
      <c r="C6" s="24">
        <v>6</v>
      </c>
      <c r="D6" s="24">
        <v>5</v>
      </c>
      <c r="E6" s="24">
        <v>4</v>
      </c>
      <c r="F6" s="30">
        <f t="shared" ref="F6:I24" si="1">B6-B5</f>
        <v>13</v>
      </c>
      <c r="G6" s="30">
        <f t="shared" si="0"/>
        <v>3</v>
      </c>
      <c r="H6" s="30">
        <f t="shared" si="0"/>
        <v>3</v>
      </c>
      <c r="I6" s="30">
        <f t="shared" si="0"/>
        <v>2</v>
      </c>
    </row>
    <row r="7" spans="1:9" x14ac:dyDescent="0.25">
      <c r="A7" s="24">
        <v>15</v>
      </c>
      <c r="B7" s="24">
        <v>38</v>
      </c>
      <c r="C7" s="24">
        <v>10</v>
      </c>
      <c r="D7" s="24">
        <v>8</v>
      </c>
      <c r="E7" s="24">
        <v>7</v>
      </c>
      <c r="F7" s="30">
        <f t="shared" si="1"/>
        <v>13</v>
      </c>
      <c r="G7" s="30">
        <f t="shared" si="0"/>
        <v>4</v>
      </c>
      <c r="H7" s="30">
        <f t="shared" si="0"/>
        <v>3</v>
      </c>
      <c r="I7" s="30">
        <f t="shared" si="0"/>
        <v>3</v>
      </c>
    </row>
    <row r="8" spans="1:9" x14ac:dyDescent="0.25">
      <c r="A8" s="24">
        <v>20</v>
      </c>
      <c r="B8" s="24">
        <v>51</v>
      </c>
      <c r="C8" s="24">
        <v>14</v>
      </c>
      <c r="D8" s="24">
        <v>12</v>
      </c>
      <c r="E8" s="24">
        <v>9</v>
      </c>
      <c r="F8" s="30">
        <f t="shared" si="1"/>
        <v>13</v>
      </c>
      <c r="G8" s="30">
        <f t="shared" si="0"/>
        <v>4</v>
      </c>
      <c r="H8" s="30">
        <f t="shared" si="0"/>
        <v>4</v>
      </c>
      <c r="I8" s="30">
        <f t="shared" si="0"/>
        <v>2</v>
      </c>
    </row>
    <row r="9" spans="1:9" x14ac:dyDescent="0.25">
      <c r="A9" s="24">
        <v>25</v>
      </c>
      <c r="B9" s="24">
        <v>62</v>
      </c>
      <c r="C9" s="24">
        <v>21</v>
      </c>
      <c r="D9" s="24">
        <v>14</v>
      </c>
      <c r="E9" s="24">
        <v>11</v>
      </c>
      <c r="F9" s="30">
        <f t="shared" si="1"/>
        <v>11</v>
      </c>
      <c r="G9" s="30">
        <f t="shared" si="0"/>
        <v>7</v>
      </c>
      <c r="H9" s="30">
        <f t="shared" si="0"/>
        <v>2</v>
      </c>
      <c r="I9" s="30">
        <f t="shared" si="0"/>
        <v>2</v>
      </c>
    </row>
    <row r="10" spans="1:9" x14ac:dyDescent="0.25">
      <c r="A10" s="24">
        <v>30</v>
      </c>
      <c r="B10" s="24">
        <v>69</v>
      </c>
      <c r="C10" s="24">
        <v>30</v>
      </c>
      <c r="D10" s="24">
        <v>17</v>
      </c>
      <c r="E10" s="24">
        <v>13</v>
      </c>
      <c r="F10" s="30">
        <f t="shared" si="1"/>
        <v>7</v>
      </c>
      <c r="G10" s="30">
        <f t="shared" si="0"/>
        <v>9</v>
      </c>
      <c r="H10" s="30">
        <f t="shared" si="0"/>
        <v>3</v>
      </c>
      <c r="I10" s="30">
        <f t="shared" si="0"/>
        <v>2</v>
      </c>
    </row>
    <row r="11" spans="1:9" x14ac:dyDescent="0.25">
      <c r="A11" s="24">
        <v>35</v>
      </c>
      <c r="B11" s="24">
        <v>74</v>
      </c>
      <c r="C11" s="24">
        <v>40</v>
      </c>
      <c r="D11" s="24">
        <v>20</v>
      </c>
      <c r="E11" s="24">
        <v>15</v>
      </c>
      <c r="F11" s="30">
        <f t="shared" si="1"/>
        <v>5</v>
      </c>
      <c r="G11" s="30">
        <f t="shared" si="0"/>
        <v>10</v>
      </c>
      <c r="H11" s="30">
        <f t="shared" si="0"/>
        <v>3</v>
      </c>
      <c r="I11" s="30">
        <f t="shared" si="0"/>
        <v>2</v>
      </c>
    </row>
    <row r="12" spans="1:9" x14ac:dyDescent="0.25">
      <c r="A12" s="24">
        <v>40</v>
      </c>
      <c r="B12" s="24">
        <v>78</v>
      </c>
      <c r="C12" s="24">
        <v>52</v>
      </c>
      <c r="D12" s="24">
        <v>23</v>
      </c>
      <c r="E12" s="24">
        <v>18</v>
      </c>
      <c r="F12" s="30">
        <f t="shared" si="1"/>
        <v>4</v>
      </c>
      <c r="G12" s="30">
        <f t="shared" si="0"/>
        <v>12</v>
      </c>
      <c r="H12" s="30">
        <f t="shared" si="0"/>
        <v>3</v>
      </c>
      <c r="I12" s="30">
        <f t="shared" si="0"/>
        <v>3</v>
      </c>
    </row>
    <row r="13" spans="1:9" x14ac:dyDescent="0.25">
      <c r="A13" s="24">
        <v>45</v>
      </c>
      <c r="B13" s="24">
        <v>81</v>
      </c>
      <c r="C13" s="24">
        <v>63</v>
      </c>
      <c r="D13" s="24">
        <v>27</v>
      </c>
      <c r="E13" s="24">
        <v>21</v>
      </c>
      <c r="F13" s="30">
        <f t="shared" si="1"/>
        <v>3</v>
      </c>
      <c r="G13" s="30">
        <f t="shared" si="0"/>
        <v>11</v>
      </c>
      <c r="H13" s="30">
        <f t="shared" si="0"/>
        <v>4</v>
      </c>
      <c r="I13" s="30">
        <f t="shared" si="0"/>
        <v>3</v>
      </c>
    </row>
    <row r="14" spans="1:9" x14ac:dyDescent="0.25">
      <c r="A14" s="24">
        <v>50</v>
      </c>
      <c r="B14" s="24">
        <v>84</v>
      </c>
      <c r="C14" s="24">
        <v>72</v>
      </c>
      <c r="D14" s="24">
        <v>33</v>
      </c>
      <c r="E14" s="24">
        <v>24</v>
      </c>
      <c r="F14" s="30">
        <f t="shared" si="1"/>
        <v>3</v>
      </c>
      <c r="G14" s="30">
        <f t="shared" si="0"/>
        <v>9</v>
      </c>
      <c r="H14" s="30">
        <f t="shared" si="0"/>
        <v>6</v>
      </c>
      <c r="I14" s="30">
        <f t="shared" si="0"/>
        <v>3</v>
      </c>
    </row>
    <row r="15" spans="1:9" x14ac:dyDescent="0.25">
      <c r="A15" s="24">
        <v>55</v>
      </c>
      <c r="B15" s="24">
        <v>86</v>
      </c>
      <c r="C15" s="24">
        <v>78</v>
      </c>
      <c r="D15" s="24">
        <v>42</v>
      </c>
      <c r="E15" s="24">
        <v>27</v>
      </c>
      <c r="F15" s="30">
        <f t="shared" si="1"/>
        <v>2</v>
      </c>
      <c r="G15" s="30">
        <f t="shared" si="0"/>
        <v>6</v>
      </c>
      <c r="H15" s="30">
        <f t="shared" si="0"/>
        <v>9</v>
      </c>
      <c r="I15" s="30">
        <f t="shared" si="0"/>
        <v>3</v>
      </c>
    </row>
    <row r="16" spans="1:9" x14ac:dyDescent="0.25">
      <c r="A16" s="24">
        <v>60</v>
      </c>
      <c r="B16" s="24">
        <v>88</v>
      </c>
      <c r="C16" s="24">
        <v>83</v>
      </c>
      <c r="D16" s="24">
        <v>55</v>
      </c>
      <c r="E16" s="24">
        <v>30</v>
      </c>
      <c r="F16" s="30">
        <f t="shared" si="1"/>
        <v>2</v>
      </c>
      <c r="G16" s="30">
        <f t="shared" si="0"/>
        <v>5</v>
      </c>
      <c r="H16" s="30">
        <f t="shared" si="0"/>
        <v>13</v>
      </c>
      <c r="I16" s="30">
        <f t="shared" si="0"/>
        <v>3</v>
      </c>
    </row>
    <row r="17" spans="1:9" x14ac:dyDescent="0.25">
      <c r="A17" s="24">
        <v>65</v>
      </c>
      <c r="B17" s="24">
        <v>90</v>
      </c>
      <c r="C17" s="24">
        <v>87</v>
      </c>
      <c r="D17" s="24">
        <v>69</v>
      </c>
      <c r="E17" s="24">
        <v>34</v>
      </c>
      <c r="F17" s="30">
        <f t="shared" si="1"/>
        <v>2</v>
      </c>
      <c r="G17" s="30">
        <f t="shared" si="0"/>
        <v>4</v>
      </c>
      <c r="H17" s="30">
        <f t="shared" si="0"/>
        <v>14</v>
      </c>
      <c r="I17" s="30">
        <f t="shared" si="0"/>
        <v>4</v>
      </c>
    </row>
    <row r="18" spans="1:9" x14ac:dyDescent="0.25">
      <c r="A18" s="24">
        <v>70</v>
      </c>
      <c r="B18" s="24">
        <v>92</v>
      </c>
      <c r="C18" s="24">
        <v>90</v>
      </c>
      <c r="D18" s="24">
        <v>79</v>
      </c>
      <c r="E18" s="24">
        <v>40</v>
      </c>
      <c r="F18" s="30">
        <f t="shared" si="1"/>
        <v>2</v>
      </c>
      <c r="G18" s="30">
        <f t="shared" si="0"/>
        <v>3</v>
      </c>
      <c r="H18" s="30">
        <f t="shared" si="0"/>
        <v>10</v>
      </c>
      <c r="I18" s="30">
        <f t="shared" si="0"/>
        <v>6</v>
      </c>
    </row>
    <row r="19" spans="1:9" x14ac:dyDescent="0.25">
      <c r="A19" s="24">
        <v>75</v>
      </c>
      <c r="B19" s="24">
        <v>94</v>
      </c>
      <c r="C19" s="24">
        <v>92</v>
      </c>
      <c r="D19" s="24">
        <v>86</v>
      </c>
      <c r="E19" s="24">
        <v>47</v>
      </c>
      <c r="F19" s="30">
        <f t="shared" si="1"/>
        <v>2</v>
      </c>
      <c r="G19" s="30">
        <f t="shared" si="0"/>
        <v>2</v>
      </c>
      <c r="H19" s="30">
        <f t="shared" si="0"/>
        <v>7</v>
      </c>
      <c r="I19" s="30">
        <f t="shared" si="0"/>
        <v>7</v>
      </c>
    </row>
    <row r="20" spans="1:9" x14ac:dyDescent="0.25">
      <c r="A20" s="24">
        <v>80</v>
      </c>
      <c r="B20" s="24">
        <v>95</v>
      </c>
      <c r="C20" s="24">
        <v>94</v>
      </c>
      <c r="D20" s="24">
        <v>91</v>
      </c>
      <c r="E20" s="24">
        <v>57</v>
      </c>
      <c r="F20" s="30">
        <f t="shared" si="1"/>
        <v>1</v>
      </c>
      <c r="G20" s="30">
        <f t="shared" si="0"/>
        <v>2</v>
      </c>
      <c r="H20" s="30">
        <f t="shared" si="0"/>
        <v>5</v>
      </c>
      <c r="I20" s="30">
        <f t="shared" si="0"/>
        <v>10</v>
      </c>
    </row>
    <row r="21" spans="1:9" x14ac:dyDescent="0.25">
      <c r="A21" s="24">
        <v>85</v>
      </c>
      <c r="B21" s="24">
        <v>96</v>
      </c>
      <c r="C21" s="24">
        <v>96</v>
      </c>
      <c r="D21" s="24">
        <v>94</v>
      </c>
      <c r="E21" s="24">
        <v>74</v>
      </c>
      <c r="F21" s="30">
        <f t="shared" si="1"/>
        <v>1</v>
      </c>
      <c r="G21" s="30">
        <f t="shared" si="1"/>
        <v>2</v>
      </c>
      <c r="H21" s="30">
        <f t="shared" si="1"/>
        <v>3</v>
      </c>
      <c r="I21" s="30">
        <f t="shared" si="1"/>
        <v>17</v>
      </c>
    </row>
    <row r="22" spans="1:9" x14ac:dyDescent="0.25">
      <c r="A22" s="24">
        <v>90</v>
      </c>
      <c r="B22" s="24">
        <v>97</v>
      </c>
      <c r="C22" s="24">
        <v>97</v>
      </c>
      <c r="D22" s="24">
        <v>96</v>
      </c>
      <c r="E22" s="24">
        <v>88</v>
      </c>
      <c r="F22" s="30">
        <f t="shared" si="1"/>
        <v>1</v>
      </c>
      <c r="G22" s="30">
        <f t="shared" si="1"/>
        <v>1</v>
      </c>
      <c r="H22" s="30">
        <f t="shared" si="1"/>
        <v>2</v>
      </c>
      <c r="I22" s="30">
        <f t="shared" si="1"/>
        <v>14</v>
      </c>
    </row>
    <row r="23" spans="1:9" x14ac:dyDescent="0.25">
      <c r="A23" s="24">
        <v>95</v>
      </c>
      <c r="B23" s="24">
        <v>98</v>
      </c>
      <c r="C23" s="24">
        <v>98</v>
      </c>
      <c r="D23" s="24">
        <v>98</v>
      </c>
      <c r="E23" s="24">
        <v>95</v>
      </c>
      <c r="F23" s="30">
        <f t="shared" si="1"/>
        <v>1</v>
      </c>
      <c r="G23" s="30">
        <f t="shared" si="1"/>
        <v>1</v>
      </c>
      <c r="H23" s="30">
        <f t="shared" si="1"/>
        <v>2</v>
      </c>
      <c r="I23" s="30">
        <f t="shared" si="1"/>
        <v>7</v>
      </c>
    </row>
    <row r="24" spans="1:9" x14ac:dyDescent="0.25">
      <c r="A24" s="24">
        <v>100</v>
      </c>
      <c r="B24" s="24">
        <v>100</v>
      </c>
      <c r="C24" s="24">
        <v>100</v>
      </c>
      <c r="D24" s="24">
        <v>100</v>
      </c>
      <c r="E24" s="24">
        <v>100</v>
      </c>
      <c r="F24" s="30">
        <f t="shared" si="1"/>
        <v>2</v>
      </c>
      <c r="G24" s="30">
        <f t="shared" si="1"/>
        <v>2</v>
      </c>
      <c r="H24" s="30">
        <f t="shared" si="1"/>
        <v>2</v>
      </c>
      <c r="I24" s="30">
        <f t="shared" si="1"/>
        <v>5</v>
      </c>
    </row>
  </sheetData>
  <mergeCells count="3">
    <mergeCell ref="B2:E2"/>
    <mergeCell ref="A2:A3"/>
    <mergeCell ref="A1:E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266E3-0D46-4F69-95E0-3D653070036B}">
  <sheetPr codeName="Planilha5"/>
  <dimension ref="A1:I50"/>
  <sheetViews>
    <sheetView topLeftCell="A49" workbookViewId="0">
      <selection activeCell="B3" sqref="B3:E24"/>
    </sheetView>
  </sheetViews>
  <sheetFormatPr defaultRowHeight="15" x14ac:dyDescent="0.25"/>
  <cols>
    <col min="1" max="1" width="28.5703125" bestFit="1" customWidth="1"/>
    <col min="2" max="2" width="12" bestFit="1" customWidth="1"/>
    <col min="3" max="3" width="14.140625" bestFit="1" customWidth="1"/>
    <col min="4" max="4" width="12.5703125" bestFit="1" customWidth="1"/>
    <col min="5" max="5" width="13.85546875" bestFit="1" customWidth="1"/>
    <col min="13" max="13" width="17.5703125" bestFit="1" customWidth="1"/>
  </cols>
  <sheetData>
    <row r="1" spans="1:9" ht="15" customHeight="1" x14ac:dyDescent="0.25">
      <c r="A1" s="43" t="s">
        <v>13</v>
      </c>
      <c r="B1" s="43"/>
      <c r="C1" s="43"/>
      <c r="D1" s="43"/>
      <c r="E1" s="43"/>
      <c r="F1" s="43"/>
      <c r="G1" s="43"/>
      <c r="H1" s="43"/>
    </row>
    <row r="2" spans="1:9" ht="15" customHeight="1" x14ac:dyDescent="0.25">
      <c r="A2" s="42" t="s">
        <v>14</v>
      </c>
      <c r="B2" s="42"/>
      <c r="C2" s="42"/>
      <c r="D2" s="42"/>
      <c r="E2" s="42"/>
      <c r="F2" s="7"/>
    </row>
    <row r="3" spans="1:9" ht="15" customHeight="1" x14ac:dyDescent="0.25">
      <c r="A3" s="7" t="s">
        <v>15</v>
      </c>
      <c r="B3" s="44" t="s">
        <v>37</v>
      </c>
      <c r="C3" s="44" t="s">
        <v>38</v>
      </c>
      <c r="D3" s="44" t="s">
        <v>39</v>
      </c>
      <c r="E3" s="44" t="s">
        <v>40</v>
      </c>
      <c r="F3" s="5"/>
    </row>
    <row r="4" spans="1:9" ht="15" customHeight="1" x14ac:dyDescent="0.25">
      <c r="A4" s="8">
        <v>0</v>
      </c>
      <c r="B4" s="8">
        <v>0</v>
      </c>
      <c r="C4" s="8">
        <v>0</v>
      </c>
      <c r="D4" s="8">
        <v>0</v>
      </c>
      <c r="E4" s="8">
        <v>0</v>
      </c>
      <c r="F4" s="25">
        <v>0</v>
      </c>
      <c r="G4" s="25">
        <v>0</v>
      </c>
      <c r="H4" s="25">
        <v>0</v>
      </c>
      <c r="I4" s="25">
        <v>0</v>
      </c>
    </row>
    <row r="5" spans="1:9" x14ac:dyDescent="0.25">
      <c r="A5" s="6">
        <v>5</v>
      </c>
      <c r="B5" s="6">
        <v>8</v>
      </c>
      <c r="C5" s="6">
        <v>2</v>
      </c>
      <c r="D5" s="6">
        <v>2</v>
      </c>
      <c r="E5" s="6">
        <v>2</v>
      </c>
      <c r="F5" s="30">
        <f>B5-B4</f>
        <v>8</v>
      </c>
      <c r="G5" s="30">
        <f t="shared" ref="G5:I20" si="0">C5-C4</f>
        <v>2</v>
      </c>
      <c r="H5" s="30">
        <f t="shared" si="0"/>
        <v>2</v>
      </c>
      <c r="I5" s="30">
        <f t="shared" si="0"/>
        <v>2</v>
      </c>
    </row>
    <row r="6" spans="1:9" x14ac:dyDescent="0.25">
      <c r="A6" s="6">
        <v>10</v>
      </c>
      <c r="B6" s="6">
        <v>17</v>
      </c>
      <c r="C6" s="6">
        <v>4</v>
      </c>
      <c r="D6" s="6">
        <v>4</v>
      </c>
      <c r="E6" s="6">
        <v>3</v>
      </c>
      <c r="F6" s="30">
        <f t="shared" ref="F6:I24" si="1">B6-B5</f>
        <v>9</v>
      </c>
      <c r="G6" s="30">
        <f t="shared" si="0"/>
        <v>2</v>
      </c>
      <c r="H6" s="30">
        <f t="shared" si="0"/>
        <v>2</v>
      </c>
      <c r="I6" s="30">
        <f t="shared" si="0"/>
        <v>1</v>
      </c>
    </row>
    <row r="7" spans="1:9" x14ac:dyDescent="0.25">
      <c r="A7" s="6">
        <v>15</v>
      </c>
      <c r="B7" s="6">
        <v>34</v>
      </c>
      <c r="C7" s="6">
        <v>8</v>
      </c>
      <c r="D7" s="6">
        <v>7</v>
      </c>
      <c r="E7" s="6">
        <v>5</v>
      </c>
      <c r="F7" s="30">
        <f t="shared" si="1"/>
        <v>17</v>
      </c>
      <c r="G7" s="30">
        <f t="shared" si="0"/>
        <v>4</v>
      </c>
      <c r="H7" s="30">
        <f t="shared" si="0"/>
        <v>3</v>
      </c>
      <c r="I7" s="30">
        <f t="shared" si="0"/>
        <v>2</v>
      </c>
    </row>
    <row r="8" spans="1:9" x14ac:dyDescent="0.25">
      <c r="A8" s="6">
        <v>20</v>
      </c>
      <c r="B8" s="6">
        <v>50</v>
      </c>
      <c r="C8" s="6">
        <v>12</v>
      </c>
      <c r="D8" s="6">
        <v>10</v>
      </c>
      <c r="E8" s="6">
        <v>7</v>
      </c>
      <c r="F8" s="30">
        <f t="shared" si="1"/>
        <v>16</v>
      </c>
      <c r="G8" s="30">
        <f t="shared" si="0"/>
        <v>4</v>
      </c>
      <c r="H8" s="30">
        <f t="shared" si="0"/>
        <v>3</v>
      </c>
      <c r="I8" s="30">
        <f t="shared" si="0"/>
        <v>2</v>
      </c>
    </row>
    <row r="9" spans="1:9" x14ac:dyDescent="0.25">
      <c r="A9" s="6">
        <v>25</v>
      </c>
      <c r="B9" s="6">
        <v>63</v>
      </c>
      <c r="C9" s="6">
        <v>21</v>
      </c>
      <c r="D9" s="6">
        <v>12</v>
      </c>
      <c r="E9" s="6">
        <v>9</v>
      </c>
      <c r="F9" s="30">
        <f t="shared" si="1"/>
        <v>13</v>
      </c>
      <c r="G9" s="30">
        <f t="shared" si="0"/>
        <v>9</v>
      </c>
      <c r="H9" s="30">
        <f t="shared" si="0"/>
        <v>2</v>
      </c>
      <c r="I9" s="30">
        <f t="shared" si="0"/>
        <v>2</v>
      </c>
    </row>
    <row r="10" spans="1:9" x14ac:dyDescent="0.25">
      <c r="A10" s="6">
        <v>30</v>
      </c>
      <c r="B10" s="6">
        <v>71</v>
      </c>
      <c r="C10" s="6">
        <v>31</v>
      </c>
      <c r="D10" s="6">
        <v>14</v>
      </c>
      <c r="E10" s="6">
        <v>10</v>
      </c>
      <c r="F10" s="30">
        <f t="shared" si="1"/>
        <v>8</v>
      </c>
      <c r="G10" s="30">
        <f t="shared" si="0"/>
        <v>10</v>
      </c>
      <c r="H10" s="30">
        <f t="shared" si="0"/>
        <v>2</v>
      </c>
      <c r="I10" s="30">
        <f t="shared" si="0"/>
        <v>1</v>
      </c>
    </row>
    <row r="11" spans="1:9" x14ac:dyDescent="0.25">
      <c r="A11" s="6">
        <v>35</v>
      </c>
      <c r="B11" s="6">
        <v>76</v>
      </c>
      <c r="C11" s="6">
        <v>42</v>
      </c>
      <c r="D11" s="6">
        <v>16</v>
      </c>
      <c r="E11" s="6">
        <v>12</v>
      </c>
      <c r="F11" s="30">
        <f t="shared" si="1"/>
        <v>5</v>
      </c>
      <c r="G11" s="30">
        <f t="shared" si="0"/>
        <v>11</v>
      </c>
      <c r="H11" s="30">
        <f t="shared" si="0"/>
        <v>2</v>
      </c>
      <c r="I11" s="30">
        <f t="shared" si="0"/>
        <v>2</v>
      </c>
    </row>
    <row r="12" spans="1:9" x14ac:dyDescent="0.25">
      <c r="A12" s="6">
        <v>40</v>
      </c>
      <c r="B12" s="6">
        <v>80</v>
      </c>
      <c r="C12" s="6">
        <v>53</v>
      </c>
      <c r="D12" s="6">
        <v>19</v>
      </c>
      <c r="E12" s="6">
        <v>14</v>
      </c>
      <c r="F12" s="30">
        <f t="shared" si="1"/>
        <v>4</v>
      </c>
      <c r="G12" s="30">
        <f t="shared" si="0"/>
        <v>11</v>
      </c>
      <c r="H12" s="30">
        <f t="shared" si="0"/>
        <v>3</v>
      </c>
      <c r="I12" s="30">
        <f t="shared" si="0"/>
        <v>2</v>
      </c>
    </row>
    <row r="13" spans="1:9" x14ac:dyDescent="0.25">
      <c r="A13" s="6">
        <v>45</v>
      </c>
      <c r="B13" s="6">
        <v>83</v>
      </c>
      <c r="C13" s="6">
        <v>64</v>
      </c>
      <c r="D13" s="6">
        <v>22</v>
      </c>
      <c r="E13" s="6">
        <v>16</v>
      </c>
      <c r="F13" s="30">
        <f t="shared" si="1"/>
        <v>3</v>
      </c>
      <c r="G13" s="30">
        <f t="shared" si="0"/>
        <v>11</v>
      </c>
      <c r="H13" s="30">
        <f t="shared" si="0"/>
        <v>3</v>
      </c>
      <c r="I13" s="30">
        <f t="shared" si="0"/>
        <v>2</v>
      </c>
    </row>
    <row r="14" spans="1:9" x14ac:dyDescent="0.25">
      <c r="A14" s="6">
        <v>50</v>
      </c>
      <c r="B14" s="6">
        <v>86</v>
      </c>
      <c r="C14" s="6">
        <v>73</v>
      </c>
      <c r="D14" s="6">
        <v>29</v>
      </c>
      <c r="E14" s="6">
        <v>19</v>
      </c>
      <c r="F14" s="30">
        <f t="shared" si="1"/>
        <v>3</v>
      </c>
      <c r="G14" s="30">
        <f t="shared" si="0"/>
        <v>9</v>
      </c>
      <c r="H14" s="30">
        <f t="shared" si="0"/>
        <v>7</v>
      </c>
      <c r="I14" s="30">
        <f t="shared" si="0"/>
        <v>3</v>
      </c>
    </row>
    <row r="15" spans="1:9" x14ac:dyDescent="0.25">
      <c r="A15" s="6">
        <v>55</v>
      </c>
      <c r="B15" s="6">
        <v>88</v>
      </c>
      <c r="C15" s="6">
        <v>80</v>
      </c>
      <c r="D15" s="6">
        <v>39</v>
      </c>
      <c r="E15" s="6">
        <v>21</v>
      </c>
      <c r="F15" s="30">
        <f t="shared" si="1"/>
        <v>2</v>
      </c>
      <c r="G15" s="30">
        <f t="shared" si="0"/>
        <v>7</v>
      </c>
      <c r="H15" s="30">
        <f t="shared" si="0"/>
        <v>10</v>
      </c>
      <c r="I15" s="30">
        <f t="shared" si="0"/>
        <v>2</v>
      </c>
    </row>
    <row r="16" spans="1:9" x14ac:dyDescent="0.25">
      <c r="A16" s="6">
        <v>60</v>
      </c>
      <c r="B16" s="6">
        <v>90</v>
      </c>
      <c r="C16" s="6">
        <v>86</v>
      </c>
      <c r="D16" s="6">
        <v>54</v>
      </c>
      <c r="E16" s="6">
        <v>25</v>
      </c>
      <c r="F16" s="30">
        <f t="shared" si="1"/>
        <v>2</v>
      </c>
      <c r="G16" s="30">
        <f t="shared" si="0"/>
        <v>6</v>
      </c>
      <c r="H16" s="30">
        <f t="shared" si="0"/>
        <v>15</v>
      </c>
      <c r="I16" s="30">
        <f t="shared" si="0"/>
        <v>4</v>
      </c>
    </row>
    <row r="17" spans="1:9" x14ac:dyDescent="0.25">
      <c r="A17" s="6">
        <v>65</v>
      </c>
      <c r="B17" s="6">
        <v>92</v>
      </c>
      <c r="C17" s="6">
        <v>89</v>
      </c>
      <c r="D17" s="6">
        <v>68</v>
      </c>
      <c r="E17" s="6">
        <v>29</v>
      </c>
      <c r="F17" s="30">
        <f t="shared" si="1"/>
        <v>2</v>
      </c>
      <c r="G17" s="30">
        <f t="shared" si="0"/>
        <v>3</v>
      </c>
      <c r="H17" s="30">
        <f t="shared" si="0"/>
        <v>14</v>
      </c>
      <c r="I17" s="30">
        <f t="shared" si="0"/>
        <v>4</v>
      </c>
    </row>
    <row r="18" spans="1:9" x14ac:dyDescent="0.25">
      <c r="A18" s="6">
        <v>70</v>
      </c>
      <c r="B18" s="6">
        <v>93</v>
      </c>
      <c r="C18" s="6">
        <v>92</v>
      </c>
      <c r="D18" s="6">
        <v>79</v>
      </c>
      <c r="E18" s="6">
        <v>35</v>
      </c>
      <c r="F18" s="30">
        <f t="shared" si="1"/>
        <v>1</v>
      </c>
      <c r="G18" s="30">
        <f t="shared" si="0"/>
        <v>3</v>
      </c>
      <c r="H18" s="30">
        <f t="shared" si="0"/>
        <v>11</v>
      </c>
      <c r="I18" s="30">
        <f t="shared" si="0"/>
        <v>6</v>
      </c>
    </row>
    <row r="19" spans="1:9" x14ac:dyDescent="0.25">
      <c r="A19" s="6">
        <v>75</v>
      </c>
      <c r="B19" s="6">
        <v>95</v>
      </c>
      <c r="C19" s="6">
        <v>94</v>
      </c>
      <c r="D19" s="6">
        <v>87</v>
      </c>
      <c r="E19" s="6">
        <v>43</v>
      </c>
      <c r="F19" s="30">
        <f t="shared" si="1"/>
        <v>2</v>
      </c>
      <c r="G19" s="30">
        <f t="shared" si="0"/>
        <v>2</v>
      </c>
      <c r="H19" s="30">
        <f t="shared" si="0"/>
        <v>8</v>
      </c>
      <c r="I19" s="30">
        <f t="shared" si="0"/>
        <v>8</v>
      </c>
    </row>
    <row r="20" spans="1:9" x14ac:dyDescent="0.25">
      <c r="A20" s="6">
        <v>80</v>
      </c>
      <c r="B20" s="6">
        <v>96</v>
      </c>
      <c r="C20" s="6">
        <v>96</v>
      </c>
      <c r="D20" s="6">
        <v>92</v>
      </c>
      <c r="E20" s="6">
        <v>54</v>
      </c>
      <c r="F20" s="30">
        <f t="shared" si="1"/>
        <v>1</v>
      </c>
      <c r="G20" s="30">
        <f t="shared" si="0"/>
        <v>2</v>
      </c>
      <c r="H20" s="30">
        <f t="shared" si="0"/>
        <v>5</v>
      </c>
      <c r="I20" s="30">
        <f t="shared" si="0"/>
        <v>11</v>
      </c>
    </row>
    <row r="21" spans="1:9" x14ac:dyDescent="0.25">
      <c r="A21" s="6">
        <v>85</v>
      </c>
      <c r="B21" s="6">
        <v>97</v>
      </c>
      <c r="C21" s="6">
        <v>97</v>
      </c>
      <c r="D21" s="6">
        <v>95</v>
      </c>
      <c r="E21" s="6">
        <v>75</v>
      </c>
      <c r="F21" s="30">
        <f t="shared" si="1"/>
        <v>1</v>
      </c>
      <c r="G21" s="30">
        <f t="shared" si="1"/>
        <v>1</v>
      </c>
      <c r="H21" s="30">
        <f t="shared" si="1"/>
        <v>3</v>
      </c>
      <c r="I21" s="30">
        <f t="shared" si="1"/>
        <v>21</v>
      </c>
    </row>
    <row r="22" spans="1:9" x14ac:dyDescent="0.25">
      <c r="A22" s="6">
        <v>90</v>
      </c>
      <c r="B22" s="6">
        <v>98</v>
      </c>
      <c r="C22" s="6">
        <v>98</v>
      </c>
      <c r="D22" s="6">
        <v>97</v>
      </c>
      <c r="E22" s="6">
        <v>92</v>
      </c>
      <c r="F22" s="30">
        <f t="shared" si="1"/>
        <v>1</v>
      </c>
      <c r="G22" s="30">
        <f t="shared" si="1"/>
        <v>1</v>
      </c>
      <c r="H22" s="30">
        <f t="shared" si="1"/>
        <v>2</v>
      </c>
      <c r="I22" s="30">
        <f t="shared" si="1"/>
        <v>17</v>
      </c>
    </row>
    <row r="23" spans="1:9" x14ac:dyDescent="0.25">
      <c r="A23" s="6">
        <v>95</v>
      </c>
      <c r="B23" s="6">
        <v>99</v>
      </c>
      <c r="C23" s="6">
        <v>99</v>
      </c>
      <c r="D23" s="6">
        <v>99</v>
      </c>
      <c r="E23" s="6">
        <v>97</v>
      </c>
      <c r="F23" s="30">
        <f t="shared" si="1"/>
        <v>1</v>
      </c>
      <c r="G23" s="30">
        <f t="shared" si="1"/>
        <v>1</v>
      </c>
      <c r="H23" s="30">
        <f t="shared" si="1"/>
        <v>2</v>
      </c>
      <c r="I23" s="30">
        <f t="shared" si="1"/>
        <v>5</v>
      </c>
    </row>
    <row r="24" spans="1:9" x14ac:dyDescent="0.25">
      <c r="A24" s="11">
        <v>100</v>
      </c>
      <c r="B24" s="11">
        <v>100</v>
      </c>
      <c r="C24" s="11">
        <v>100</v>
      </c>
      <c r="D24" s="11">
        <v>100</v>
      </c>
      <c r="E24" s="11">
        <v>100</v>
      </c>
      <c r="F24" s="30">
        <f t="shared" si="1"/>
        <v>1</v>
      </c>
      <c r="G24" s="30">
        <f t="shared" si="1"/>
        <v>1</v>
      </c>
      <c r="H24" s="30">
        <f t="shared" si="1"/>
        <v>1</v>
      </c>
      <c r="I24" s="30">
        <f t="shared" si="1"/>
        <v>3</v>
      </c>
    </row>
    <row r="27" spans="1:9" ht="15" customHeight="1" x14ac:dyDescent="0.25">
      <c r="A27" s="39" t="s">
        <v>16</v>
      </c>
      <c r="B27" s="39"/>
      <c r="C27" s="39"/>
      <c r="D27" s="39"/>
      <c r="E27" s="9"/>
      <c r="F27" s="9"/>
      <c r="G27" s="9"/>
      <c r="H27" s="9"/>
    </row>
    <row r="28" spans="1:9" ht="30.75" customHeight="1" x14ac:dyDescent="0.25">
      <c r="A28" s="41" t="s">
        <v>18</v>
      </c>
      <c r="B28" s="40" t="s">
        <v>17</v>
      </c>
      <c r="C28" s="40"/>
      <c r="D28" s="40"/>
      <c r="E28" s="12"/>
      <c r="F28" s="1"/>
      <c r="G28" s="1"/>
      <c r="H28" s="1"/>
    </row>
    <row r="29" spans="1:9" x14ac:dyDescent="0.25">
      <c r="A29" s="41"/>
      <c r="B29" s="14">
        <v>0.1</v>
      </c>
      <c r="C29" s="14">
        <v>0.5</v>
      </c>
      <c r="D29" s="14">
        <v>0.9</v>
      </c>
      <c r="F29" s="10"/>
      <c r="G29" s="1"/>
      <c r="H29" s="1"/>
      <c r="I29" s="1"/>
    </row>
    <row r="30" spans="1:9" x14ac:dyDescent="0.25">
      <c r="A30" s="28">
        <v>0</v>
      </c>
      <c r="B30" s="29">
        <v>0</v>
      </c>
      <c r="C30" s="29">
        <v>0</v>
      </c>
      <c r="D30" s="29">
        <v>0</v>
      </c>
      <c r="E30" s="25">
        <v>0</v>
      </c>
      <c r="F30" s="25">
        <v>0</v>
      </c>
      <c r="G30" s="25">
        <v>0</v>
      </c>
      <c r="H30" s="1"/>
      <c r="I30" s="1"/>
    </row>
    <row r="31" spans="1:9" x14ac:dyDescent="0.25">
      <c r="A31" s="11">
        <v>5</v>
      </c>
      <c r="B31" s="11">
        <v>24</v>
      </c>
      <c r="C31" s="11">
        <v>8</v>
      </c>
      <c r="D31" s="11">
        <v>2</v>
      </c>
      <c r="E31" s="30">
        <f>B31-B30</f>
        <v>24</v>
      </c>
      <c r="F31" s="30">
        <f t="shared" ref="F31:G31" si="2">C31-C30</f>
        <v>8</v>
      </c>
      <c r="G31" s="30">
        <f t="shared" si="2"/>
        <v>2</v>
      </c>
      <c r="H31" s="1"/>
      <c r="I31" s="1"/>
    </row>
    <row r="32" spans="1:9" x14ac:dyDescent="0.25">
      <c r="A32" s="11">
        <v>10</v>
      </c>
      <c r="B32" s="11">
        <v>50</v>
      </c>
      <c r="C32" s="11">
        <v>17</v>
      </c>
      <c r="D32" s="11">
        <v>4</v>
      </c>
      <c r="E32" s="30">
        <f t="shared" ref="E32:E50" si="3">B32-B31</f>
        <v>26</v>
      </c>
      <c r="F32" s="30">
        <f t="shared" ref="F32:F50" si="4">C32-C31</f>
        <v>9</v>
      </c>
      <c r="G32" s="30">
        <f t="shared" ref="G32:G50" si="5">D32-D31</f>
        <v>2</v>
      </c>
      <c r="H32" s="1"/>
      <c r="I32" s="1"/>
    </row>
    <row r="33" spans="1:9" x14ac:dyDescent="0.25">
      <c r="A33" s="11">
        <v>15</v>
      </c>
      <c r="B33" s="11">
        <v>71</v>
      </c>
      <c r="C33" s="11">
        <v>34</v>
      </c>
      <c r="D33" s="11">
        <v>13</v>
      </c>
      <c r="E33" s="30">
        <f t="shared" si="3"/>
        <v>21</v>
      </c>
      <c r="F33" s="30">
        <f t="shared" si="4"/>
        <v>17</v>
      </c>
      <c r="G33" s="30">
        <f t="shared" si="5"/>
        <v>9</v>
      </c>
      <c r="H33" s="1"/>
      <c r="I33" s="1"/>
    </row>
    <row r="34" spans="1:9" x14ac:dyDescent="0.25">
      <c r="A34" s="11">
        <v>20</v>
      </c>
      <c r="B34" s="11">
        <v>84</v>
      </c>
      <c r="C34" s="11">
        <v>50</v>
      </c>
      <c r="D34" s="11">
        <v>28</v>
      </c>
      <c r="E34" s="30">
        <f t="shared" si="3"/>
        <v>13</v>
      </c>
      <c r="F34" s="30">
        <f t="shared" si="4"/>
        <v>16</v>
      </c>
      <c r="G34" s="30">
        <f t="shared" si="5"/>
        <v>15</v>
      </c>
      <c r="H34" s="1"/>
      <c r="I34" s="1"/>
    </row>
    <row r="35" spans="1:9" x14ac:dyDescent="0.25">
      <c r="A35" s="11">
        <v>25</v>
      </c>
      <c r="B35" s="11">
        <v>89</v>
      </c>
      <c r="C35" s="11">
        <v>63</v>
      </c>
      <c r="D35" s="11">
        <v>39</v>
      </c>
      <c r="E35" s="30">
        <f t="shared" si="3"/>
        <v>5</v>
      </c>
      <c r="F35" s="30">
        <f t="shared" si="4"/>
        <v>13</v>
      </c>
      <c r="G35" s="30">
        <f t="shared" si="5"/>
        <v>11</v>
      </c>
      <c r="H35" s="1"/>
      <c r="I35" s="1"/>
    </row>
    <row r="36" spans="1:9" x14ac:dyDescent="0.25">
      <c r="A36" s="11">
        <v>30</v>
      </c>
      <c r="B36" s="11">
        <v>92</v>
      </c>
      <c r="C36" s="11">
        <v>71</v>
      </c>
      <c r="D36" s="11">
        <v>46</v>
      </c>
      <c r="E36" s="30">
        <f t="shared" si="3"/>
        <v>3</v>
      </c>
      <c r="F36" s="30">
        <f t="shared" si="4"/>
        <v>8</v>
      </c>
      <c r="G36" s="30">
        <f t="shared" si="5"/>
        <v>7</v>
      </c>
      <c r="H36" s="1"/>
      <c r="I36" s="1"/>
    </row>
    <row r="37" spans="1:9" x14ac:dyDescent="0.25">
      <c r="A37" s="11">
        <v>35</v>
      </c>
      <c r="B37" s="11">
        <v>94</v>
      </c>
      <c r="C37" s="11">
        <v>76</v>
      </c>
      <c r="D37" s="11">
        <v>49</v>
      </c>
      <c r="E37" s="30">
        <f t="shared" si="3"/>
        <v>2</v>
      </c>
      <c r="F37" s="30">
        <f t="shared" si="4"/>
        <v>5</v>
      </c>
      <c r="G37" s="30">
        <f t="shared" si="5"/>
        <v>3</v>
      </c>
      <c r="H37" s="1"/>
      <c r="I37" s="1"/>
    </row>
    <row r="38" spans="1:9" x14ac:dyDescent="0.25">
      <c r="A38" s="11">
        <v>40</v>
      </c>
      <c r="B38" s="11">
        <v>95</v>
      </c>
      <c r="C38" s="11">
        <v>80</v>
      </c>
      <c r="D38" s="11">
        <v>52</v>
      </c>
      <c r="E38" s="30">
        <f t="shared" si="3"/>
        <v>1</v>
      </c>
      <c r="F38" s="30">
        <f t="shared" si="4"/>
        <v>4</v>
      </c>
      <c r="G38" s="30">
        <f t="shared" si="5"/>
        <v>3</v>
      </c>
      <c r="H38" s="1"/>
      <c r="I38" s="1"/>
    </row>
    <row r="39" spans="1:9" x14ac:dyDescent="0.25">
      <c r="A39" s="11">
        <v>45</v>
      </c>
      <c r="B39" s="11">
        <v>96</v>
      </c>
      <c r="C39" s="11">
        <v>83</v>
      </c>
      <c r="D39" s="11">
        <v>55</v>
      </c>
      <c r="E39" s="30">
        <f t="shared" si="3"/>
        <v>1</v>
      </c>
      <c r="F39" s="30">
        <f t="shared" si="4"/>
        <v>3</v>
      </c>
      <c r="G39" s="30">
        <f t="shared" si="5"/>
        <v>3</v>
      </c>
      <c r="H39" s="1"/>
      <c r="I39" s="1"/>
    </row>
    <row r="40" spans="1:9" x14ac:dyDescent="0.25">
      <c r="A40" s="11">
        <v>50</v>
      </c>
      <c r="B40" s="11">
        <v>97</v>
      </c>
      <c r="C40" s="11">
        <v>86</v>
      </c>
      <c r="D40" s="11">
        <v>57</v>
      </c>
      <c r="E40" s="30">
        <f t="shared" si="3"/>
        <v>1</v>
      </c>
      <c r="F40" s="30">
        <f t="shared" si="4"/>
        <v>3</v>
      </c>
      <c r="G40" s="30">
        <f t="shared" si="5"/>
        <v>2</v>
      </c>
      <c r="H40" s="1"/>
      <c r="I40" s="1"/>
    </row>
    <row r="41" spans="1:9" x14ac:dyDescent="0.25">
      <c r="A41" s="11">
        <v>55</v>
      </c>
      <c r="B41" s="11">
        <v>98</v>
      </c>
      <c r="C41" s="11">
        <v>88</v>
      </c>
      <c r="D41" s="11">
        <v>60</v>
      </c>
      <c r="E41" s="30">
        <f t="shared" si="3"/>
        <v>1</v>
      </c>
      <c r="F41" s="30">
        <f t="shared" si="4"/>
        <v>2</v>
      </c>
      <c r="G41" s="30">
        <f t="shared" si="5"/>
        <v>3</v>
      </c>
      <c r="H41" s="1"/>
      <c r="I41" s="1"/>
    </row>
    <row r="42" spans="1:9" x14ac:dyDescent="0.25">
      <c r="A42" s="11">
        <v>60</v>
      </c>
      <c r="B42" s="11">
        <v>98</v>
      </c>
      <c r="C42" s="11">
        <v>90</v>
      </c>
      <c r="D42" s="11">
        <v>63</v>
      </c>
      <c r="E42" s="30">
        <f t="shared" si="3"/>
        <v>0</v>
      </c>
      <c r="F42" s="30">
        <f t="shared" si="4"/>
        <v>2</v>
      </c>
      <c r="G42" s="30">
        <f t="shared" si="5"/>
        <v>3</v>
      </c>
      <c r="H42" s="1"/>
      <c r="I42" s="1"/>
    </row>
    <row r="43" spans="1:9" x14ac:dyDescent="0.25">
      <c r="A43" s="11">
        <v>65</v>
      </c>
      <c r="B43" s="11">
        <v>98</v>
      </c>
      <c r="C43" s="11">
        <v>92</v>
      </c>
      <c r="D43" s="11">
        <v>67</v>
      </c>
      <c r="E43" s="30">
        <f t="shared" si="3"/>
        <v>0</v>
      </c>
      <c r="F43" s="30">
        <f t="shared" si="4"/>
        <v>2</v>
      </c>
      <c r="G43" s="30">
        <f t="shared" si="5"/>
        <v>4</v>
      </c>
      <c r="H43" s="1"/>
      <c r="I43" s="1"/>
    </row>
    <row r="44" spans="1:9" x14ac:dyDescent="0.25">
      <c r="A44" s="11">
        <v>70</v>
      </c>
      <c r="B44" s="11">
        <v>99</v>
      </c>
      <c r="C44" s="11">
        <v>93</v>
      </c>
      <c r="D44" s="11">
        <v>72</v>
      </c>
      <c r="E44" s="30">
        <f t="shared" si="3"/>
        <v>1</v>
      </c>
      <c r="F44" s="30">
        <f t="shared" si="4"/>
        <v>1</v>
      </c>
      <c r="G44" s="30">
        <f t="shared" si="5"/>
        <v>5</v>
      </c>
      <c r="H44" s="1"/>
      <c r="I44" s="1"/>
    </row>
    <row r="45" spans="1:9" x14ac:dyDescent="0.25">
      <c r="A45" s="11">
        <v>75</v>
      </c>
      <c r="B45" s="11">
        <v>99</v>
      </c>
      <c r="C45" s="11">
        <v>95</v>
      </c>
      <c r="D45" s="11">
        <v>76</v>
      </c>
      <c r="E45" s="30">
        <f t="shared" si="3"/>
        <v>0</v>
      </c>
      <c r="F45" s="30">
        <f t="shared" si="4"/>
        <v>2</v>
      </c>
      <c r="G45" s="30">
        <f t="shared" si="5"/>
        <v>4</v>
      </c>
      <c r="H45" s="1"/>
      <c r="I45" s="1"/>
    </row>
    <row r="46" spans="1:9" x14ac:dyDescent="0.25">
      <c r="A46" s="11">
        <v>80</v>
      </c>
      <c r="B46" s="11">
        <v>99</v>
      </c>
      <c r="C46" s="11">
        <v>96</v>
      </c>
      <c r="D46" s="11">
        <v>82</v>
      </c>
      <c r="E46" s="30">
        <f t="shared" si="3"/>
        <v>0</v>
      </c>
      <c r="F46" s="30">
        <f t="shared" si="4"/>
        <v>1</v>
      </c>
      <c r="G46" s="30">
        <f t="shared" si="5"/>
        <v>6</v>
      </c>
      <c r="H46" s="1"/>
      <c r="I46" s="1"/>
    </row>
    <row r="47" spans="1:9" x14ac:dyDescent="0.25">
      <c r="A47" s="11">
        <v>85</v>
      </c>
      <c r="B47" s="11">
        <v>99</v>
      </c>
      <c r="C47" s="11">
        <v>97</v>
      </c>
      <c r="D47" s="11">
        <v>89</v>
      </c>
      <c r="E47" s="30">
        <f t="shared" si="3"/>
        <v>0</v>
      </c>
      <c r="F47" s="30">
        <f t="shared" si="4"/>
        <v>1</v>
      </c>
      <c r="G47" s="30">
        <f t="shared" si="5"/>
        <v>7</v>
      </c>
      <c r="H47" s="1"/>
      <c r="I47" s="1"/>
    </row>
    <row r="48" spans="1:9" x14ac:dyDescent="0.25">
      <c r="A48" s="11">
        <v>90</v>
      </c>
      <c r="B48" s="11">
        <v>99</v>
      </c>
      <c r="C48" s="11">
        <v>98</v>
      </c>
      <c r="D48" s="11">
        <v>94</v>
      </c>
      <c r="E48" s="30">
        <f t="shared" si="3"/>
        <v>0</v>
      </c>
      <c r="F48" s="30">
        <f t="shared" si="4"/>
        <v>1</v>
      </c>
      <c r="G48" s="30">
        <f t="shared" si="5"/>
        <v>5</v>
      </c>
      <c r="H48" s="1"/>
      <c r="I48" s="1"/>
    </row>
    <row r="49" spans="1:9" x14ac:dyDescent="0.25">
      <c r="A49" s="11">
        <v>95</v>
      </c>
      <c r="B49" s="11">
        <v>99</v>
      </c>
      <c r="C49" s="11">
        <v>99</v>
      </c>
      <c r="D49" s="11">
        <v>97</v>
      </c>
      <c r="E49" s="30">
        <f t="shared" si="3"/>
        <v>0</v>
      </c>
      <c r="F49" s="30">
        <f t="shared" si="4"/>
        <v>1</v>
      </c>
      <c r="G49" s="30">
        <f t="shared" si="5"/>
        <v>3</v>
      </c>
      <c r="H49" s="1"/>
      <c r="I49" s="1"/>
    </row>
    <row r="50" spans="1:9" x14ac:dyDescent="0.25">
      <c r="A50" s="11">
        <v>100</v>
      </c>
      <c r="B50" s="11">
        <v>100</v>
      </c>
      <c r="C50" s="11">
        <v>100</v>
      </c>
      <c r="D50" s="11">
        <v>100</v>
      </c>
      <c r="E50" s="30">
        <f t="shared" si="3"/>
        <v>1</v>
      </c>
      <c r="F50" s="30">
        <f t="shared" si="4"/>
        <v>1</v>
      </c>
      <c r="G50" s="30">
        <f t="shared" si="5"/>
        <v>3</v>
      </c>
    </row>
  </sheetData>
  <mergeCells count="5">
    <mergeCell ref="A27:D27"/>
    <mergeCell ref="B28:D28"/>
    <mergeCell ref="A28:A29"/>
    <mergeCell ref="A2:E2"/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088EE-8763-4BD3-8552-112C4E4D44B4}">
  <dimension ref="C5:U31"/>
  <sheetViews>
    <sheetView workbookViewId="0"/>
  </sheetViews>
  <sheetFormatPr defaultRowHeight="15" x14ac:dyDescent="0.25"/>
  <cols>
    <col min="3" max="3" width="7.140625" bestFit="1" customWidth="1"/>
    <col min="4" max="4" width="17.28515625" bestFit="1" customWidth="1"/>
    <col min="5" max="5" width="13.42578125" customWidth="1"/>
    <col min="6" max="6" width="13.140625" customWidth="1"/>
    <col min="7" max="7" width="18.28515625" bestFit="1" customWidth="1"/>
    <col min="21" max="21" width="12" bestFit="1" customWidth="1"/>
  </cols>
  <sheetData>
    <row r="5" spans="3:21" ht="18" x14ac:dyDescent="0.35">
      <c r="C5" s="33" t="s">
        <v>31</v>
      </c>
      <c r="D5" s="33" t="s">
        <v>41</v>
      </c>
      <c r="E5" s="33" t="s">
        <v>44</v>
      </c>
      <c r="F5" s="33" t="s">
        <v>43</v>
      </c>
      <c r="G5" s="33" t="s">
        <v>42</v>
      </c>
    </row>
    <row r="6" spans="3:21" x14ac:dyDescent="0.25">
      <c r="C6" s="33">
        <v>0</v>
      </c>
      <c r="D6" s="33">
        <f>C6/$C$15</f>
        <v>0</v>
      </c>
      <c r="E6" s="33">
        <v>0</v>
      </c>
      <c r="F6" s="33">
        <v>0</v>
      </c>
      <c r="G6" s="33">
        <v>0</v>
      </c>
    </row>
    <row r="7" spans="3:21" x14ac:dyDescent="0.25">
      <c r="C7" s="33">
        <v>1</v>
      </c>
      <c r="D7" s="33">
        <f t="shared" ref="D7:D15" si="0">C7/$C$15</f>
        <v>0.1111111111111111</v>
      </c>
      <c r="E7" s="33">
        <v>2</v>
      </c>
      <c r="F7" s="33">
        <f>E7+F6</f>
        <v>2</v>
      </c>
      <c r="G7" s="33">
        <f>F7/$E$16</f>
        <v>0.1</v>
      </c>
    </row>
    <row r="8" spans="3:21" x14ac:dyDescent="0.25">
      <c r="C8" s="33">
        <v>2</v>
      </c>
      <c r="D8" s="33">
        <f t="shared" si="0"/>
        <v>0.22222222222222221</v>
      </c>
      <c r="E8" s="33">
        <v>4</v>
      </c>
      <c r="F8" s="33">
        <f t="shared" ref="F8:F15" si="1">E8+F7</f>
        <v>6</v>
      </c>
      <c r="G8" s="33">
        <f t="shared" ref="G8:G15" si="2">F8/$E$16</f>
        <v>0.3</v>
      </c>
    </row>
    <row r="9" spans="3:21" x14ac:dyDescent="0.25">
      <c r="C9" s="33">
        <v>3</v>
      </c>
      <c r="D9" s="33">
        <f t="shared" si="0"/>
        <v>0.33333333333333331</v>
      </c>
      <c r="E9" s="33">
        <v>1</v>
      </c>
      <c r="F9" s="33">
        <f t="shared" si="1"/>
        <v>7</v>
      </c>
      <c r="G9" s="33">
        <f t="shared" si="2"/>
        <v>0.35</v>
      </c>
    </row>
    <row r="10" spans="3:21" x14ac:dyDescent="0.25">
      <c r="C10" s="33">
        <v>4</v>
      </c>
      <c r="D10" s="33">
        <f t="shared" si="0"/>
        <v>0.44444444444444442</v>
      </c>
      <c r="E10" s="33">
        <v>3</v>
      </c>
      <c r="F10" s="33">
        <f t="shared" si="1"/>
        <v>10</v>
      </c>
      <c r="G10" s="33">
        <f t="shared" si="2"/>
        <v>0.5</v>
      </c>
    </row>
    <row r="11" spans="3:21" x14ac:dyDescent="0.25">
      <c r="C11" s="33">
        <v>5</v>
      </c>
      <c r="D11" s="33">
        <f t="shared" si="0"/>
        <v>0.55555555555555558</v>
      </c>
      <c r="E11" s="33">
        <v>4</v>
      </c>
      <c r="F11" s="33">
        <f t="shared" si="1"/>
        <v>14</v>
      </c>
      <c r="G11" s="33">
        <f t="shared" si="2"/>
        <v>0.7</v>
      </c>
    </row>
    <row r="12" spans="3:21" x14ac:dyDescent="0.25">
      <c r="C12" s="33">
        <v>6</v>
      </c>
      <c r="D12" s="33">
        <f t="shared" si="0"/>
        <v>0.66666666666666663</v>
      </c>
      <c r="E12" s="33">
        <v>2</v>
      </c>
      <c r="F12" s="33">
        <f t="shared" si="1"/>
        <v>16</v>
      </c>
      <c r="G12" s="33">
        <f t="shared" si="2"/>
        <v>0.8</v>
      </c>
      <c r="S12" s="33" t="s">
        <v>48</v>
      </c>
      <c r="T12" s="33" t="s">
        <v>49</v>
      </c>
      <c r="U12" s="33" t="s">
        <v>50</v>
      </c>
    </row>
    <row r="13" spans="3:21" x14ac:dyDescent="0.25">
      <c r="C13" s="33">
        <v>7</v>
      </c>
      <c r="D13" s="33">
        <f t="shared" si="0"/>
        <v>0.77777777777777779</v>
      </c>
      <c r="E13" s="33">
        <v>2</v>
      </c>
      <c r="F13" s="33">
        <f t="shared" si="1"/>
        <v>18</v>
      </c>
      <c r="G13" s="33">
        <f t="shared" si="2"/>
        <v>0.9</v>
      </c>
      <c r="S13" s="33">
        <v>110</v>
      </c>
      <c r="T13" s="46">
        <f>S13/S16</f>
        <v>0.42145593869731801</v>
      </c>
      <c r="U13" s="45" t="s">
        <v>45</v>
      </c>
    </row>
    <row r="14" spans="3:21" x14ac:dyDescent="0.25">
      <c r="C14" s="33">
        <v>8</v>
      </c>
      <c r="D14" s="33">
        <f t="shared" si="0"/>
        <v>0.88888888888888884</v>
      </c>
      <c r="E14" s="33">
        <v>1</v>
      </c>
      <c r="F14" s="33">
        <f t="shared" si="1"/>
        <v>19</v>
      </c>
      <c r="G14" s="33">
        <f t="shared" si="2"/>
        <v>0.95</v>
      </c>
      <c r="S14" s="33">
        <v>86</v>
      </c>
      <c r="T14" s="46">
        <f>S14/S16</f>
        <v>0.32950191570881227</v>
      </c>
      <c r="U14" s="45" t="s">
        <v>46</v>
      </c>
    </row>
    <row r="15" spans="3:21" x14ac:dyDescent="0.25">
      <c r="C15" s="33">
        <v>9</v>
      </c>
      <c r="D15" s="33">
        <f t="shared" si="0"/>
        <v>1</v>
      </c>
      <c r="E15" s="33">
        <v>1</v>
      </c>
      <c r="F15" s="33">
        <f t="shared" si="1"/>
        <v>20</v>
      </c>
      <c r="G15" s="33">
        <f t="shared" si="2"/>
        <v>1</v>
      </c>
      <c r="S15" s="33">
        <v>65</v>
      </c>
      <c r="T15" s="46">
        <f>S15/S16</f>
        <v>0.24904214559386972</v>
      </c>
      <c r="U15" s="45" t="s">
        <v>47</v>
      </c>
    </row>
    <row r="16" spans="3:21" x14ac:dyDescent="0.25">
      <c r="D16" s="33">
        <v>0</v>
      </c>
      <c r="E16" s="33">
        <f>SUM(E6:E15)</f>
        <v>20</v>
      </c>
      <c r="S16" s="33">
        <v>261</v>
      </c>
      <c r="T16" s="46">
        <v>1</v>
      </c>
    </row>
    <row r="21" spans="3:21" x14ac:dyDescent="0.25">
      <c r="T21" s="33" t="s">
        <v>26</v>
      </c>
      <c r="U21" s="33" t="s">
        <v>50</v>
      </c>
    </row>
    <row r="22" spans="3:21" ht="18" x14ac:dyDescent="0.35">
      <c r="C22" s="33" t="s">
        <v>31</v>
      </c>
      <c r="D22" s="33" t="s">
        <v>41</v>
      </c>
      <c r="E22" s="33" t="s">
        <v>44</v>
      </c>
      <c r="F22" s="33" t="s">
        <v>43</v>
      </c>
      <c r="G22" s="33" t="s">
        <v>42</v>
      </c>
      <c r="T22" s="33" t="s">
        <v>51</v>
      </c>
      <c r="U22" s="45" t="s">
        <v>56</v>
      </c>
    </row>
    <row r="23" spans="3:21" x14ac:dyDescent="0.25">
      <c r="C23" s="33">
        <v>0</v>
      </c>
      <c r="D23" s="33">
        <f>C23/$C$30</f>
        <v>0</v>
      </c>
      <c r="E23" s="33">
        <v>0</v>
      </c>
      <c r="F23" s="33">
        <v>0</v>
      </c>
      <c r="G23" s="33">
        <v>0</v>
      </c>
      <c r="T23" s="33" t="s">
        <v>52</v>
      </c>
      <c r="U23" s="45" t="s">
        <v>55</v>
      </c>
    </row>
    <row r="24" spans="3:21" x14ac:dyDescent="0.25">
      <c r="C24" s="33">
        <v>1</v>
      </c>
      <c r="D24" s="33">
        <f t="shared" ref="D24:D30" si="3">C24/$C$30</f>
        <v>0.14285714285714285</v>
      </c>
      <c r="E24" s="33">
        <v>4</v>
      </c>
      <c r="F24" s="33">
        <f>E24+F23</f>
        <v>4</v>
      </c>
      <c r="G24" s="33">
        <f>F24/$E$31</f>
        <v>0.21052631578947367</v>
      </c>
      <c r="T24" s="33" t="s">
        <v>53</v>
      </c>
      <c r="U24" s="45" t="s">
        <v>46</v>
      </c>
    </row>
    <row r="25" spans="3:21" x14ac:dyDescent="0.25">
      <c r="C25" s="33">
        <v>2</v>
      </c>
      <c r="D25" s="33">
        <f t="shared" si="3"/>
        <v>0.2857142857142857</v>
      </c>
      <c r="E25" s="33">
        <v>1</v>
      </c>
      <c r="F25" s="33">
        <f t="shared" ref="F25:F30" si="4">E25+F24</f>
        <v>5</v>
      </c>
      <c r="G25" s="33">
        <f t="shared" ref="G25:G30" si="5">F25/$E$31</f>
        <v>0.26315789473684209</v>
      </c>
      <c r="T25" s="33" t="s">
        <v>54</v>
      </c>
      <c r="U25" s="45" t="s">
        <v>47</v>
      </c>
    </row>
    <row r="26" spans="3:21" x14ac:dyDescent="0.25">
      <c r="C26" s="33">
        <v>3</v>
      </c>
      <c r="D26" s="33">
        <f t="shared" si="3"/>
        <v>0.42857142857142855</v>
      </c>
      <c r="E26" s="33">
        <v>4</v>
      </c>
      <c r="F26" s="33">
        <f t="shared" si="4"/>
        <v>9</v>
      </c>
      <c r="G26" s="33">
        <f t="shared" si="5"/>
        <v>0.47368421052631576</v>
      </c>
    </row>
    <row r="27" spans="3:21" x14ac:dyDescent="0.25">
      <c r="C27" s="33">
        <v>4</v>
      </c>
      <c r="D27" s="33">
        <f t="shared" si="3"/>
        <v>0.5714285714285714</v>
      </c>
      <c r="E27" s="33">
        <v>5</v>
      </c>
      <c r="F27" s="33">
        <f t="shared" si="4"/>
        <v>14</v>
      </c>
      <c r="G27" s="33">
        <f t="shared" si="5"/>
        <v>0.73684210526315785</v>
      </c>
    </row>
    <row r="28" spans="3:21" x14ac:dyDescent="0.25">
      <c r="C28" s="33">
        <v>5</v>
      </c>
      <c r="D28" s="33">
        <f t="shared" si="3"/>
        <v>0.7142857142857143</v>
      </c>
      <c r="E28" s="33">
        <v>3</v>
      </c>
      <c r="F28" s="33">
        <f t="shared" si="4"/>
        <v>17</v>
      </c>
      <c r="G28" s="33">
        <f t="shared" si="5"/>
        <v>0.89473684210526316</v>
      </c>
    </row>
    <row r="29" spans="3:21" x14ac:dyDescent="0.25">
      <c r="C29" s="33">
        <v>6</v>
      </c>
      <c r="D29" s="33">
        <f t="shared" si="3"/>
        <v>0.8571428571428571</v>
      </c>
      <c r="E29" s="33">
        <v>1</v>
      </c>
      <c r="F29" s="33">
        <f t="shared" si="4"/>
        <v>18</v>
      </c>
      <c r="G29" s="33">
        <f t="shared" si="5"/>
        <v>0.94736842105263153</v>
      </c>
    </row>
    <row r="30" spans="3:21" x14ac:dyDescent="0.25">
      <c r="C30" s="33">
        <v>7</v>
      </c>
      <c r="D30" s="33">
        <f t="shared" si="3"/>
        <v>1</v>
      </c>
      <c r="E30" s="33">
        <v>1</v>
      </c>
      <c r="F30" s="33">
        <f t="shared" si="4"/>
        <v>19</v>
      </c>
      <c r="G30" s="33">
        <f t="shared" si="5"/>
        <v>1</v>
      </c>
    </row>
    <row r="31" spans="3:21" x14ac:dyDescent="0.25">
      <c r="D31" s="33">
        <v>0</v>
      </c>
      <c r="E31" s="33">
        <f>SUM(E23:E30)</f>
        <v>19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3F66E-6449-4FF9-BDA3-7406EA483C39}">
  <sheetPr codeName="Planilha1"/>
  <dimension ref="A1:O104"/>
  <sheetViews>
    <sheetView workbookViewId="0">
      <selection activeCell="Q8" sqref="Q8"/>
    </sheetView>
  </sheetViews>
  <sheetFormatPr defaultRowHeight="15" x14ac:dyDescent="0.25"/>
  <cols>
    <col min="1" max="1" width="16.28515625" customWidth="1"/>
    <col min="5" max="5" width="14.7109375" bestFit="1" customWidth="1"/>
    <col min="7" max="7" width="11.28515625" bestFit="1" customWidth="1"/>
    <col min="9" max="9" width="9.140625" style="1"/>
    <col min="15" max="15" width="12" bestFit="1" customWidth="1"/>
  </cols>
  <sheetData>
    <row r="1" spans="1:15" x14ac:dyDescent="0.25">
      <c r="A1" s="21" t="s">
        <v>11</v>
      </c>
      <c r="B1" s="1">
        <v>21</v>
      </c>
      <c r="E1" s="1" t="s">
        <v>0</v>
      </c>
      <c r="F1" s="1">
        <f>(B1-1)/'Gerar Hietograma'!G2</f>
        <v>1.1111111111111112</v>
      </c>
    </row>
    <row r="2" spans="1:15" x14ac:dyDescent="0.25">
      <c r="E2" s="1"/>
      <c r="F2" s="1"/>
      <c r="G2" s="1"/>
      <c r="I2"/>
    </row>
    <row r="3" spans="1:15" x14ac:dyDescent="0.25">
      <c r="A3" s="1" t="s">
        <v>1</v>
      </c>
      <c r="B3" s="1" t="s">
        <v>5</v>
      </c>
      <c r="C3" s="1" t="s">
        <v>4</v>
      </c>
      <c r="D3" s="1" t="s">
        <v>3</v>
      </c>
      <c r="E3" s="1" t="s">
        <v>2</v>
      </c>
      <c r="G3" s="1" t="s">
        <v>10</v>
      </c>
      <c r="H3" s="1" t="s">
        <v>6</v>
      </c>
      <c r="I3" s="1" t="s">
        <v>10</v>
      </c>
      <c r="J3" s="20" t="s">
        <v>32</v>
      </c>
      <c r="K3" s="20" t="s">
        <v>33</v>
      </c>
      <c r="L3" s="20" t="s">
        <v>34</v>
      </c>
      <c r="M3" s="20" t="s">
        <v>35</v>
      </c>
      <c r="N3" s="20" t="s">
        <v>36</v>
      </c>
      <c r="O3" s="32" t="s">
        <v>27</v>
      </c>
    </row>
    <row r="4" spans="1:15" ht="18.75" x14ac:dyDescent="0.25">
      <c r="A4" s="2">
        <v>0</v>
      </c>
      <c r="B4" s="4">
        <f>IF('Gerar Hietograma'!$F$6=1,Ponto!B3,IF('Gerar Hietograma'!$F$6=2,A10a50!B4,IF('Gerar Hietograma'!$F$6=3,A50a400!B4)))</f>
        <v>0</v>
      </c>
      <c r="C4" s="4">
        <f>IF('Gerar Hietograma'!$F$6=1,Ponto!C3,IF('Gerar Hietograma'!$F$6=2,A10a50!C4,IF('Gerar Hietograma'!$F$6=3,A50a400!C4)))</f>
        <v>0</v>
      </c>
      <c r="D4" s="4">
        <f>IF('Gerar Hietograma'!$F$6=1,Ponto!D3,IF('Gerar Hietograma'!$F$6=2,A10a50!D4,IF('Gerar Hietograma'!$F$6=3,A50a400!D4)))</f>
        <v>0</v>
      </c>
      <c r="E4" s="4">
        <f>IF('Gerar Hietograma'!$F$6=1,Ponto!E3,IF('Gerar Hietograma'!$F$6=2,A10a50!E4,IF('Gerar Hietograma'!$F$6=3,A50a400!E4)))</f>
        <v>0</v>
      </c>
      <c r="F4" s="3">
        <v>1</v>
      </c>
      <c r="G4" s="1">
        <f>A4*'Gerar Hietograma'!$G$3</f>
        <v>0</v>
      </c>
      <c r="H4" s="1">
        <f>IF('Gerar Hietograma'!$F$5=1,'Gerar Hietograma'!$G$4/100*B4,IF('Gerar Hietograma'!$F$5=2,'Gerar Hietograma'!$G$4/100*C4,IF('Gerar Hietograma'!$F$5=3,'Gerar Hietograma'!$G$4/100*D4,IF('Gerar Hietograma'!$F$5=4,'Gerar Hietograma'!$G$4/100*E4,0))))</f>
        <v>0</v>
      </c>
      <c r="I4" s="1">
        <v>0</v>
      </c>
      <c r="J4">
        <f t="shared" ref="J4:J35" si="0">INDEX(x_conhecido,MATCH(I4,x_conhecido,1))</f>
        <v>0</v>
      </c>
      <c r="K4">
        <f t="shared" ref="K4:K35" si="1">INDEX(y_conhecido,MATCH(I4,x_conhecido,1))</f>
        <v>0</v>
      </c>
      <c r="L4" cm="1">
        <f t="array" ref="L4">INDEX(x_conhecido, MATCH(I4, x_conhecido, 1) + 1)</f>
        <v>9</v>
      </c>
      <c r="M4" cm="1">
        <f t="array" ref="M4">INDEX(y_conhecido, MATCH(I4,x_conhecido, 1) + 1)</f>
        <v>14.399999999999999</v>
      </c>
      <c r="N4">
        <f t="shared" ref="N4:N35" si="2">IF(MATCH(I4,x_conhecido,1)=COUNTA(x_conhecido),K4,K4+(M4-K4)*(I4-J4)/(L4-J4))</f>
        <v>0</v>
      </c>
      <c r="O4">
        <v>0</v>
      </c>
    </row>
    <row r="5" spans="1:15" ht="18.75" x14ac:dyDescent="0.25">
      <c r="A5" s="2">
        <v>0.05</v>
      </c>
      <c r="B5" s="4">
        <f>IF('Gerar Hietograma'!$F$6=1,Ponto!B4,IF('Gerar Hietograma'!$F$6=2,A10a50!B5,IF('Gerar Hietograma'!$F$6=3,A50a400!B5)))</f>
        <v>12</v>
      </c>
      <c r="C5" s="4">
        <f>IF('Gerar Hietograma'!$F$6=1,Ponto!C4,IF('Gerar Hietograma'!$F$6=2,A10a50!C5,IF('Gerar Hietograma'!$F$6=3,A50a400!C5)))</f>
        <v>3</v>
      </c>
      <c r="D5" s="4">
        <f>IF('Gerar Hietograma'!$F$6=1,Ponto!D4,IF('Gerar Hietograma'!$F$6=2,A10a50!D5,IF('Gerar Hietograma'!$F$6=3,A50a400!D5)))</f>
        <v>2</v>
      </c>
      <c r="E5" s="4">
        <f>IF('Gerar Hietograma'!$F$6=1,Ponto!E4,IF('Gerar Hietograma'!$F$6=2,A10a50!E5,IF('Gerar Hietograma'!$F$6=3,A50a400!E5)))</f>
        <v>2</v>
      </c>
      <c r="F5" s="3">
        <v>2</v>
      </c>
      <c r="G5" s="1">
        <f>A5*'Gerar Hietograma'!$G$3</f>
        <v>9</v>
      </c>
      <c r="H5" s="1">
        <f>IF('Gerar Hietograma'!$F$5=1,'Gerar Hietograma'!$G$4/100*B5,IF('Gerar Hietograma'!$F$5=2,'Gerar Hietograma'!$G$4/100*C5,IF('Gerar Hietograma'!$F$5=3,'Gerar Hietograma'!$G$4/100*D5,IF('Gerar Hietograma'!$F$5=4,'Gerar Hietograma'!$G$4/100*E5,0))))</f>
        <v>14.399999999999999</v>
      </c>
      <c r="I5" s="1">
        <f>'Gerar Hietograma'!$G$3/'Gerar Hietograma'!$G$2*F4</f>
        <v>10</v>
      </c>
      <c r="J5">
        <f t="shared" si="0"/>
        <v>9</v>
      </c>
      <c r="K5">
        <f t="shared" si="1"/>
        <v>14.399999999999999</v>
      </c>
      <c r="L5" cm="1">
        <f t="array" ref="L5">INDEX(x_conhecido, MATCH(I5, x_conhecido, 1) + 1)</f>
        <v>18</v>
      </c>
      <c r="M5" cm="1">
        <f t="array" ref="M5">INDEX(y_conhecido, MATCH(I5,x_conhecido, 1) + 1)</f>
        <v>30</v>
      </c>
      <c r="N5">
        <f t="shared" si="2"/>
        <v>16.133333333333333</v>
      </c>
      <c r="O5">
        <f>N5-N4</f>
        <v>16.133333333333333</v>
      </c>
    </row>
    <row r="6" spans="1:15" ht="18.75" x14ac:dyDescent="0.25">
      <c r="A6" s="2">
        <v>0.1</v>
      </c>
      <c r="B6" s="4">
        <f>IF('Gerar Hietograma'!$F$6=1,Ponto!B5,IF('Gerar Hietograma'!$F$6=2,A10a50!B6,IF('Gerar Hietograma'!$F$6=3,A50a400!B6)))</f>
        <v>25</v>
      </c>
      <c r="C6" s="4">
        <f>IF('Gerar Hietograma'!$F$6=1,Ponto!C5,IF('Gerar Hietograma'!$F$6=2,A10a50!C6,IF('Gerar Hietograma'!$F$6=3,A50a400!C6)))</f>
        <v>6</v>
      </c>
      <c r="D6" s="4">
        <f>IF('Gerar Hietograma'!$F$6=1,Ponto!D5,IF('Gerar Hietograma'!$F$6=2,A10a50!D6,IF('Gerar Hietograma'!$F$6=3,A50a400!D6)))</f>
        <v>5</v>
      </c>
      <c r="E6" s="4">
        <f>IF('Gerar Hietograma'!$F$6=1,Ponto!E5,IF('Gerar Hietograma'!$F$6=2,A10a50!E6,IF('Gerar Hietograma'!$F$6=3,A50a400!E6)))</f>
        <v>4</v>
      </c>
      <c r="F6" s="3">
        <v>3</v>
      </c>
      <c r="G6" s="1">
        <f>A6*'Gerar Hietograma'!$G$3</f>
        <v>18</v>
      </c>
      <c r="H6" s="1">
        <f>IF('Gerar Hietograma'!$F$5=1,'Gerar Hietograma'!$G$4/100*B6,IF('Gerar Hietograma'!$F$5=2,'Gerar Hietograma'!$G$4/100*C6,IF('Gerar Hietograma'!$F$5=3,'Gerar Hietograma'!$G$4/100*D6,IF('Gerar Hietograma'!$F$5=4,'Gerar Hietograma'!$G$4/100*E6,0))))</f>
        <v>30</v>
      </c>
      <c r="I6" s="1">
        <f>'Gerar Hietograma'!$G$3/'Gerar Hietograma'!$G$2*F5</f>
        <v>20</v>
      </c>
      <c r="J6">
        <f t="shared" si="0"/>
        <v>18</v>
      </c>
      <c r="K6">
        <f t="shared" si="1"/>
        <v>30</v>
      </c>
      <c r="L6" cm="1">
        <f t="array" ref="L6">INDEX(x_conhecido, MATCH(I6, x_conhecido, 1) + 1)</f>
        <v>27</v>
      </c>
      <c r="M6" cm="1">
        <f t="array" ref="M6">INDEX(y_conhecido, MATCH(I6,x_conhecido, 1) + 1)</f>
        <v>45.6</v>
      </c>
      <c r="N6">
        <f t="shared" si="2"/>
        <v>33.466666666666669</v>
      </c>
      <c r="O6">
        <f t="shared" ref="O6:O46" si="3">N6-N5</f>
        <v>17.333333333333336</v>
      </c>
    </row>
    <row r="7" spans="1:15" ht="18.75" x14ac:dyDescent="0.25">
      <c r="A7" s="2">
        <v>0.15</v>
      </c>
      <c r="B7" s="4">
        <f>IF('Gerar Hietograma'!$F$6=1,Ponto!B6,IF('Gerar Hietograma'!$F$6=2,A10a50!B7,IF('Gerar Hietograma'!$F$6=3,A50a400!B7)))</f>
        <v>38</v>
      </c>
      <c r="C7" s="4">
        <f>IF('Gerar Hietograma'!$F$6=1,Ponto!C6,IF('Gerar Hietograma'!$F$6=2,A10a50!C7,IF('Gerar Hietograma'!$F$6=3,A50a400!C7)))</f>
        <v>10</v>
      </c>
      <c r="D7" s="4">
        <f>IF('Gerar Hietograma'!$F$6=1,Ponto!D6,IF('Gerar Hietograma'!$F$6=2,A10a50!D7,IF('Gerar Hietograma'!$F$6=3,A50a400!D7)))</f>
        <v>8</v>
      </c>
      <c r="E7" s="4">
        <f>IF('Gerar Hietograma'!$F$6=1,Ponto!E6,IF('Gerar Hietograma'!$F$6=2,A10a50!E7,IF('Gerar Hietograma'!$F$6=3,A50a400!E7)))</f>
        <v>7</v>
      </c>
      <c r="F7" s="3">
        <v>4</v>
      </c>
      <c r="G7" s="1">
        <f>A7*'Gerar Hietograma'!$G$3</f>
        <v>27</v>
      </c>
      <c r="H7" s="1">
        <f>IF('Gerar Hietograma'!$F$5=1,'Gerar Hietograma'!$G$4/100*B7,IF('Gerar Hietograma'!$F$5=2,'Gerar Hietograma'!$G$4/100*C7,IF('Gerar Hietograma'!$F$5=3,'Gerar Hietograma'!$G$4/100*D7,IF('Gerar Hietograma'!$F$5=4,'Gerar Hietograma'!$G$4/100*E7,0))))</f>
        <v>45.6</v>
      </c>
      <c r="I7" s="1">
        <f>'Gerar Hietograma'!$G$3/'Gerar Hietograma'!$G$2*F6</f>
        <v>30</v>
      </c>
      <c r="J7">
        <f t="shared" si="0"/>
        <v>27</v>
      </c>
      <c r="K7">
        <f t="shared" si="1"/>
        <v>45.6</v>
      </c>
      <c r="L7" cm="1">
        <f t="array" ref="L7">INDEX(x_conhecido, MATCH(I7, x_conhecido, 1) + 1)</f>
        <v>36</v>
      </c>
      <c r="M7" cm="1">
        <f t="array" ref="M7">INDEX(y_conhecido, MATCH(I7,x_conhecido, 1) + 1)</f>
        <v>61.199999999999996</v>
      </c>
      <c r="N7">
        <f t="shared" si="2"/>
        <v>50.8</v>
      </c>
      <c r="O7">
        <f t="shared" si="3"/>
        <v>17.333333333333329</v>
      </c>
    </row>
    <row r="8" spans="1:15" ht="18.75" x14ac:dyDescent="0.25">
      <c r="A8" s="2">
        <v>0.2</v>
      </c>
      <c r="B8" s="4">
        <f>IF('Gerar Hietograma'!$F$6=1,Ponto!B7,IF('Gerar Hietograma'!$F$6=2,A10a50!B8,IF('Gerar Hietograma'!$F$6=3,A50a400!B8)))</f>
        <v>51</v>
      </c>
      <c r="C8" s="4">
        <f>IF('Gerar Hietograma'!$F$6=1,Ponto!C7,IF('Gerar Hietograma'!$F$6=2,A10a50!C8,IF('Gerar Hietograma'!$F$6=3,A50a400!C8)))</f>
        <v>14</v>
      </c>
      <c r="D8" s="4">
        <f>IF('Gerar Hietograma'!$F$6=1,Ponto!D7,IF('Gerar Hietograma'!$F$6=2,A10a50!D8,IF('Gerar Hietograma'!$F$6=3,A50a400!D8)))</f>
        <v>12</v>
      </c>
      <c r="E8" s="4">
        <f>IF('Gerar Hietograma'!$F$6=1,Ponto!E7,IF('Gerar Hietograma'!$F$6=2,A10a50!E8,IF('Gerar Hietograma'!$F$6=3,A50a400!E8)))</f>
        <v>9</v>
      </c>
      <c r="F8" s="3">
        <v>5</v>
      </c>
      <c r="G8" s="1">
        <f>A8*'Gerar Hietograma'!$G$3</f>
        <v>36</v>
      </c>
      <c r="H8" s="1">
        <f>IF('Gerar Hietograma'!$F$5=1,'Gerar Hietograma'!$G$4/100*B8,IF('Gerar Hietograma'!$F$5=2,'Gerar Hietograma'!$G$4/100*C8,IF('Gerar Hietograma'!$F$5=3,'Gerar Hietograma'!$G$4/100*D8,IF('Gerar Hietograma'!$F$5=4,'Gerar Hietograma'!$G$4/100*E8,0))))</f>
        <v>61.199999999999996</v>
      </c>
      <c r="I8" s="1">
        <f>'Gerar Hietograma'!$G$3/'Gerar Hietograma'!$G$2*F7</f>
        <v>40</v>
      </c>
      <c r="J8">
        <f t="shared" si="0"/>
        <v>36</v>
      </c>
      <c r="K8">
        <f t="shared" si="1"/>
        <v>61.199999999999996</v>
      </c>
      <c r="L8" cm="1">
        <f t="array" ref="L8">INDEX(x_conhecido, MATCH(I8, x_conhecido, 1) + 1)</f>
        <v>45</v>
      </c>
      <c r="M8" cm="1">
        <f t="array" ref="M8">INDEX(y_conhecido, MATCH(I8,x_conhecido, 1) + 1)</f>
        <v>74.399999999999991</v>
      </c>
      <c r="N8">
        <f t="shared" si="2"/>
        <v>67.066666666666663</v>
      </c>
      <c r="O8">
        <f t="shared" si="3"/>
        <v>16.266666666666666</v>
      </c>
    </row>
    <row r="9" spans="1:15" ht="18.75" x14ac:dyDescent="0.25">
      <c r="A9" s="2">
        <v>0.25</v>
      </c>
      <c r="B9" s="4">
        <f>IF('Gerar Hietograma'!$F$6=1,Ponto!B8,IF('Gerar Hietograma'!$F$6=2,A10a50!B9,IF('Gerar Hietograma'!$F$6=3,A50a400!B9)))</f>
        <v>62</v>
      </c>
      <c r="C9" s="4">
        <f>IF('Gerar Hietograma'!$F$6=1,Ponto!C8,IF('Gerar Hietograma'!$F$6=2,A10a50!C9,IF('Gerar Hietograma'!$F$6=3,A50a400!C9)))</f>
        <v>21</v>
      </c>
      <c r="D9" s="4">
        <f>IF('Gerar Hietograma'!$F$6=1,Ponto!D8,IF('Gerar Hietograma'!$F$6=2,A10a50!D9,IF('Gerar Hietograma'!$F$6=3,A50a400!D9)))</f>
        <v>14</v>
      </c>
      <c r="E9" s="4">
        <f>IF('Gerar Hietograma'!$F$6=1,Ponto!E8,IF('Gerar Hietograma'!$F$6=2,A10a50!E9,IF('Gerar Hietograma'!$F$6=3,A50a400!E9)))</f>
        <v>11</v>
      </c>
      <c r="F9" s="3">
        <v>6</v>
      </c>
      <c r="G9" s="1">
        <f>A9*'Gerar Hietograma'!$G$3</f>
        <v>45</v>
      </c>
      <c r="H9" s="1">
        <f>IF('Gerar Hietograma'!$F$5=1,'Gerar Hietograma'!$G$4/100*B9,IF('Gerar Hietograma'!$F$5=2,'Gerar Hietograma'!$G$4/100*C9,IF('Gerar Hietograma'!$F$5=3,'Gerar Hietograma'!$G$4/100*D9,IF('Gerar Hietograma'!$F$5=4,'Gerar Hietograma'!$G$4/100*E9,0))))</f>
        <v>74.399999999999991</v>
      </c>
      <c r="I9" s="1">
        <f>'Gerar Hietograma'!$G$3/'Gerar Hietograma'!$G$2*F8</f>
        <v>50</v>
      </c>
      <c r="J9">
        <f t="shared" si="0"/>
        <v>45</v>
      </c>
      <c r="K9">
        <f t="shared" si="1"/>
        <v>74.399999999999991</v>
      </c>
      <c r="L9" cm="1">
        <f t="array" ref="L9">INDEX(x_conhecido, MATCH(I9, x_conhecido, 1) + 1)</f>
        <v>54</v>
      </c>
      <c r="M9" cm="1">
        <f t="array" ref="M9">INDEX(y_conhecido, MATCH(I9,x_conhecido, 1) + 1)</f>
        <v>82.8</v>
      </c>
      <c r="N9">
        <f t="shared" si="2"/>
        <v>79.066666666666663</v>
      </c>
      <c r="O9">
        <f t="shared" si="3"/>
        <v>12</v>
      </c>
    </row>
    <row r="10" spans="1:15" ht="18.75" x14ac:dyDescent="0.25">
      <c r="A10" s="2">
        <v>0.3</v>
      </c>
      <c r="B10" s="4">
        <f>IF('Gerar Hietograma'!$F$6=1,Ponto!B9,IF('Gerar Hietograma'!$F$6=2,A10a50!B10,IF('Gerar Hietograma'!$F$6=3,A50a400!B10)))</f>
        <v>69</v>
      </c>
      <c r="C10" s="4">
        <f>IF('Gerar Hietograma'!$F$6=1,Ponto!C9,IF('Gerar Hietograma'!$F$6=2,A10a50!C10,IF('Gerar Hietograma'!$F$6=3,A50a400!C10)))</f>
        <v>30</v>
      </c>
      <c r="D10" s="4">
        <f>IF('Gerar Hietograma'!$F$6=1,Ponto!D9,IF('Gerar Hietograma'!$F$6=2,A10a50!D10,IF('Gerar Hietograma'!$F$6=3,A50a400!D10)))</f>
        <v>17</v>
      </c>
      <c r="E10" s="4">
        <f>IF('Gerar Hietograma'!$F$6=1,Ponto!E9,IF('Gerar Hietograma'!$F$6=2,A10a50!E10,IF('Gerar Hietograma'!$F$6=3,A50a400!E10)))</f>
        <v>13</v>
      </c>
      <c r="F10" s="3">
        <v>7</v>
      </c>
      <c r="G10" s="1">
        <f>A10*'Gerar Hietograma'!$G$3</f>
        <v>54</v>
      </c>
      <c r="H10" s="1">
        <f>IF('Gerar Hietograma'!$F$5=1,'Gerar Hietograma'!$G$4/100*B10,IF('Gerar Hietograma'!$F$5=2,'Gerar Hietograma'!$G$4/100*C10,IF('Gerar Hietograma'!$F$5=3,'Gerar Hietograma'!$G$4/100*D10,IF('Gerar Hietograma'!$F$5=4,'Gerar Hietograma'!$G$4/100*E10,0))))</f>
        <v>82.8</v>
      </c>
      <c r="I10" s="1">
        <f>'Gerar Hietograma'!$G$3/'Gerar Hietograma'!$G$2*F9</f>
        <v>60</v>
      </c>
      <c r="J10">
        <f t="shared" si="0"/>
        <v>54</v>
      </c>
      <c r="K10">
        <f t="shared" si="1"/>
        <v>82.8</v>
      </c>
      <c r="L10" cm="1">
        <f t="array" ref="L10">INDEX(x_conhecido, MATCH(I10, x_conhecido, 1) + 1)</f>
        <v>62.999999999999993</v>
      </c>
      <c r="M10" cm="1">
        <f t="array" ref="M10">INDEX(y_conhecido, MATCH(I10,x_conhecido, 1) + 1)</f>
        <v>88.8</v>
      </c>
      <c r="N10">
        <f t="shared" si="2"/>
        <v>86.8</v>
      </c>
      <c r="O10">
        <f t="shared" si="3"/>
        <v>7.7333333333333343</v>
      </c>
    </row>
    <row r="11" spans="1:15" ht="18.75" x14ac:dyDescent="0.25">
      <c r="A11" s="2">
        <v>0.35</v>
      </c>
      <c r="B11" s="4">
        <f>IF('Gerar Hietograma'!$F$6=1,Ponto!B10,IF('Gerar Hietograma'!$F$6=2,A10a50!B11,IF('Gerar Hietograma'!$F$6=3,A50a400!B11)))</f>
        <v>74</v>
      </c>
      <c r="C11" s="4">
        <f>IF('Gerar Hietograma'!$F$6=1,Ponto!C10,IF('Gerar Hietograma'!$F$6=2,A10a50!C11,IF('Gerar Hietograma'!$F$6=3,A50a400!C11)))</f>
        <v>40</v>
      </c>
      <c r="D11" s="4">
        <f>IF('Gerar Hietograma'!$F$6=1,Ponto!D10,IF('Gerar Hietograma'!$F$6=2,A10a50!D11,IF('Gerar Hietograma'!$F$6=3,A50a400!D11)))</f>
        <v>20</v>
      </c>
      <c r="E11" s="4">
        <f>IF('Gerar Hietograma'!$F$6=1,Ponto!E10,IF('Gerar Hietograma'!$F$6=2,A10a50!E11,IF('Gerar Hietograma'!$F$6=3,A50a400!E11)))</f>
        <v>15</v>
      </c>
      <c r="F11" s="3">
        <v>8</v>
      </c>
      <c r="G11" s="1">
        <f>A11*'Gerar Hietograma'!$G$3</f>
        <v>62.999999999999993</v>
      </c>
      <c r="H11" s="1">
        <f>IF('Gerar Hietograma'!$F$5=1,'Gerar Hietograma'!$G$4/100*B11,IF('Gerar Hietograma'!$F$5=2,'Gerar Hietograma'!$G$4/100*C11,IF('Gerar Hietograma'!$F$5=3,'Gerar Hietograma'!$G$4/100*D11,IF('Gerar Hietograma'!$F$5=4,'Gerar Hietograma'!$G$4/100*E11,0))))</f>
        <v>88.8</v>
      </c>
      <c r="I11" s="1">
        <f>'Gerar Hietograma'!$G$3/'Gerar Hietograma'!$G$2*F10</f>
        <v>70</v>
      </c>
      <c r="J11">
        <f t="shared" si="0"/>
        <v>62.999999999999993</v>
      </c>
      <c r="K11">
        <f t="shared" si="1"/>
        <v>88.8</v>
      </c>
      <c r="L11" cm="1">
        <f t="array" ref="L11">INDEX(x_conhecido, MATCH(I11, x_conhecido, 1) + 1)</f>
        <v>72</v>
      </c>
      <c r="M11" cm="1">
        <f t="array" ref="M11">INDEX(y_conhecido, MATCH(I11,x_conhecido, 1) + 1)</f>
        <v>93.6</v>
      </c>
      <c r="N11">
        <f t="shared" si="2"/>
        <v>92.533333333333331</v>
      </c>
      <c r="O11">
        <f t="shared" si="3"/>
        <v>5.7333333333333343</v>
      </c>
    </row>
    <row r="12" spans="1:15" ht="18.75" x14ac:dyDescent="0.25">
      <c r="A12" s="2">
        <v>0.4</v>
      </c>
      <c r="B12" s="4">
        <f>IF('Gerar Hietograma'!$F$6=1,Ponto!B11,IF('Gerar Hietograma'!$F$6=2,A10a50!B12,IF('Gerar Hietograma'!$F$6=3,A50a400!B12)))</f>
        <v>78</v>
      </c>
      <c r="C12" s="4">
        <f>IF('Gerar Hietograma'!$F$6=1,Ponto!C11,IF('Gerar Hietograma'!$F$6=2,A10a50!C12,IF('Gerar Hietograma'!$F$6=3,A50a400!C12)))</f>
        <v>52</v>
      </c>
      <c r="D12" s="4">
        <f>IF('Gerar Hietograma'!$F$6=1,Ponto!D11,IF('Gerar Hietograma'!$F$6=2,A10a50!D12,IF('Gerar Hietograma'!$F$6=3,A50a400!D12)))</f>
        <v>23</v>
      </c>
      <c r="E12" s="4">
        <f>IF('Gerar Hietograma'!$F$6=1,Ponto!E11,IF('Gerar Hietograma'!$F$6=2,A10a50!E12,IF('Gerar Hietograma'!$F$6=3,A50a400!E12)))</f>
        <v>18</v>
      </c>
      <c r="F12" s="3">
        <v>9</v>
      </c>
      <c r="G12" s="1">
        <f>A12*'Gerar Hietograma'!$G$3</f>
        <v>72</v>
      </c>
      <c r="H12" s="1">
        <f>IF('Gerar Hietograma'!$F$5=1,'Gerar Hietograma'!$G$4/100*B12,IF('Gerar Hietograma'!$F$5=2,'Gerar Hietograma'!$G$4/100*C12,IF('Gerar Hietograma'!$F$5=3,'Gerar Hietograma'!$G$4/100*D12,IF('Gerar Hietograma'!$F$5=4,'Gerar Hietograma'!$G$4/100*E12,0))))</f>
        <v>93.6</v>
      </c>
      <c r="I12" s="1">
        <f>'Gerar Hietograma'!$G$3/'Gerar Hietograma'!$G$2*F11</f>
        <v>80</v>
      </c>
      <c r="J12">
        <f t="shared" si="0"/>
        <v>72</v>
      </c>
      <c r="K12">
        <f t="shared" si="1"/>
        <v>93.6</v>
      </c>
      <c r="L12" cm="1">
        <f t="array" ref="L12">INDEX(x_conhecido, MATCH(I12, x_conhecido, 1) + 1)</f>
        <v>81</v>
      </c>
      <c r="M12" cm="1">
        <f t="array" ref="M12">INDEX(y_conhecido, MATCH(I12,x_conhecido, 1) + 1)</f>
        <v>97.2</v>
      </c>
      <c r="N12">
        <f t="shared" si="2"/>
        <v>96.8</v>
      </c>
      <c r="O12">
        <f t="shared" si="3"/>
        <v>4.2666666666666657</v>
      </c>
    </row>
    <row r="13" spans="1:15" ht="18.75" x14ac:dyDescent="0.25">
      <c r="A13" s="2">
        <v>0.45</v>
      </c>
      <c r="B13" s="4">
        <f>IF('Gerar Hietograma'!$F$6=1,Ponto!B12,IF('Gerar Hietograma'!$F$6=2,A10a50!B13,IF('Gerar Hietograma'!$F$6=3,A50a400!B13)))</f>
        <v>81</v>
      </c>
      <c r="C13" s="4">
        <f>IF('Gerar Hietograma'!$F$6=1,Ponto!C12,IF('Gerar Hietograma'!$F$6=2,A10a50!C13,IF('Gerar Hietograma'!$F$6=3,A50a400!C13)))</f>
        <v>63</v>
      </c>
      <c r="D13" s="4">
        <f>IF('Gerar Hietograma'!$F$6=1,Ponto!D12,IF('Gerar Hietograma'!$F$6=2,A10a50!D13,IF('Gerar Hietograma'!$F$6=3,A50a400!D13)))</f>
        <v>27</v>
      </c>
      <c r="E13" s="4">
        <f>IF('Gerar Hietograma'!$F$6=1,Ponto!E12,IF('Gerar Hietograma'!$F$6=2,A10a50!E13,IF('Gerar Hietograma'!$F$6=3,A50a400!E13)))</f>
        <v>21</v>
      </c>
      <c r="F13" s="3">
        <v>10</v>
      </c>
      <c r="G13" s="1">
        <f>A13*'Gerar Hietograma'!$G$3</f>
        <v>81</v>
      </c>
      <c r="H13" s="1">
        <f>IF('Gerar Hietograma'!$F$5=1,'Gerar Hietograma'!$G$4/100*B13,IF('Gerar Hietograma'!$F$5=2,'Gerar Hietograma'!$G$4/100*C13,IF('Gerar Hietograma'!$F$5=3,'Gerar Hietograma'!$G$4/100*D13,IF('Gerar Hietograma'!$F$5=4,'Gerar Hietograma'!$G$4/100*E13,0))))</f>
        <v>97.2</v>
      </c>
      <c r="I13" s="1">
        <f>'Gerar Hietograma'!$G$3/'Gerar Hietograma'!$G$2*F12</f>
        <v>90</v>
      </c>
      <c r="J13">
        <f t="shared" si="0"/>
        <v>90</v>
      </c>
      <c r="K13">
        <f t="shared" si="1"/>
        <v>100.8</v>
      </c>
      <c r="L13" cm="1">
        <f t="array" ref="L13">INDEX(x_conhecido, MATCH(I13, x_conhecido, 1) + 1)</f>
        <v>99.000000000000014</v>
      </c>
      <c r="M13" cm="1">
        <f t="array" ref="M13">INDEX(y_conhecido, MATCH(I13,x_conhecido, 1) + 1)</f>
        <v>103.2</v>
      </c>
      <c r="N13">
        <f t="shared" si="2"/>
        <v>100.8</v>
      </c>
      <c r="O13">
        <f t="shared" si="3"/>
        <v>4</v>
      </c>
    </row>
    <row r="14" spans="1:15" ht="18.75" x14ac:dyDescent="0.25">
      <c r="A14" s="2">
        <v>0.5</v>
      </c>
      <c r="B14" s="4">
        <f>IF('Gerar Hietograma'!$F$6=1,Ponto!B13,IF('Gerar Hietograma'!$F$6=2,A10a50!B14,IF('Gerar Hietograma'!$F$6=3,A50a400!B14)))</f>
        <v>84</v>
      </c>
      <c r="C14" s="4">
        <f>IF('Gerar Hietograma'!$F$6=1,Ponto!C13,IF('Gerar Hietograma'!$F$6=2,A10a50!C14,IF('Gerar Hietograma'!$F$6=3,A50a400!C14)))</f>
        <v>72</v>
      </c>
      <c r="D14" s="4">
        <f>IF('Gerar Hietograma'!$F$6=1,Ponto!D13,IF('Gerar Hietograma'!$F$6=2,A10a50!D14,IF('Gerar Hietograma'!$F$6=3,A50a400!D14)))</f>
        <v>33</v>
      </c>
      <c r="E14" s="4">
        <f>IF('Gerar Hietograma'!$F$6=1,Ponto!E13,IF('Gerar Hietograma'!$F$6=2,A10a50!E14,IF('Gerar Hietograma'!$F$6=3,A50a400!E14)))</f>
        <v>24</v>
      </c>
      <c r="F14" s="3">
        <v>11</v>
      </c>
      <c r="G14" s="1">
        <f>A14*'Gerar Hietograma'!$G$3</f>
        <v>90</v>
      </c>
      <c r="H14" s="1">
        <f>IF('Gerar Hietograma'!$F$5=1,'Gerar Hietograma'!$G$4/100*B14,IF('Gerar Hietograma'!$F$5=2,'Gerar Hietograma'!$G$4/100*C14,IF('Gerar Hietograma'!$F$5=3,'Gerar Hietograma'!$G$4/100*D14,IF('Gerar Hietograma'!$F$5=4,'Gerar Hietograma'!$G$4/100*E14,0))))</f>
        <v>100.8</v>
      </c>
      <c r="I14" s="1">
        <f>'Gerar Hietograma'!$G$3/'Gerar Hietograma'!$G$2*F13</f>
        <v>100</v>
      </c>
      <c r="J14">
        <f t="shared" si="0"/>
        <v>99.000000000000014</v>
      </c>
      <c r="K14">
        <f t="shared" si="1"/>
        <v>103.2</v>
      </c>
      <c r="L14" cm="1">
        <f t="array" ref="L14">INDEX(x_conhecido, MATCH(I14, x_conhecido, 1) + 1)</f>
        <v>108</v>
      </c>
      <c r="M14" cm="1">
        <f t="array" ref="M14">INDEX(y_conhecido, MATCH(I14,x_conhecido, 1) + 1)</f>
        <v>105.6</v>
      </c>
      <c r="N14">
        <f t="shared" si="2"/>
        <v>103.46666666666667</v>
      </c>
      <c r="O14">
        <f t="shared" si="3"/>
        <v>2.6666666666666714</v>
      </c>
    </row>
    <row r="15" spans="1:15" ht="18.75" x14ac:dyDescent="0.25">
      <c r="A15" s="2">
        <v>0.55000000000000004</v>
      </c>
      <c r="B15" s="4">
        <f>IF('Gerar Hietograma'!$F$6=1,Ponto!B14,IF('Gerar Hietograma'!$F$6=2,A10a50!B15,IF('Gerar Hietograma'!$F$6=3,A50a400!B15)))</f>
        <v>86</v>
      </c>
      <c r="C15" s="4">
        <f>IF('Gerar Hietograma'!$F$6=1,Ponto!C14,IF('Gerar Hietograma'!$F$6=2,A10a50!C15,IF('Gerar Hietograma'!$F$6=3,A50a400!C15)))</f>
        <v>78</v>
      </c>
      <c r="D15" s="4">
        <f>IF('Gerar Hietograma'!$F$6=1,Ponto!D14,IF('Gerar Hietograma'!$F$6=2,A10a50!D15,IF('Gerar Hietograma'!$F$6=3,A50a400!D15)))</f>
        <v>42</v>
      </c>
      <c r="E15" s="4">
        <f>IF('Gerar Hietograma'!$F$6=1,Ponto!E14,IF('Gerar Hietograma'!$F$6=2,A10a50!E15,IF('Gerar Hietograma'!$F$6=3,A50a400!E15)))</f>
        <v>27</v>
      </c>
      <c r="F15" s="3">
        <v>12</v>
      </c>
      <c r="G15" s="1">
        <f>A15*'Gerar Hietograma'!$G$3</f>
        <v>99.000000000000014</v>
      </c>
      <c r="H15" s="1">
        <f>IF('Gerar Hietograma'!$F$5=1,'Gerar Hietograma'!$G$4/100*B15,IF('Gerar Hietograma'!$F$5=2,'Gerar Hietograma'!$G$4/100*C15,IF('Gerar Hietograma'!$F$5=3,'Gerar Hietograma'!$G$4/100*D15,IF('Gerar Hietograma'!$F$5=4,'Gerar Hietograma'!$G$4/100*E15,0))))</f>
        <v>103.2</v>
      </c>
      <c r="I15" s="1">
        <f>'Gerar Hietograma'!$G$3/'Gerar Hietograma'!$G$2*F14</f>
        <v>110</v>
      </c>
      <c r="J15">
        <f t="shared" si="0"/>
        <v>108</v>
      </c>
      <c r="K15">
        <f t="shared" si="1"/>
        <v>105.6</v>
      </c>
      <c r="L15" cm="1">
        <f t="array" ref="L15">INDEX(x_conhecido, MATCH(I15, x_conhecido, 1) + 1)</f>
        <v>117</v>
      </c>
      <c r="M15" cm="1">
        <f t="array" ref="M15">INDEX(y_conhecido, MATCH(I15,x_conhecido, 1) + 1)</f>
        <v>108</v>
      </c>
      <c r="N15">
        <f t="shared" si="2"/>
        <v>106.13333333333333</v>
      </c>
      <c r="O15">
        <f t="shared" si="3"/>
        <v>2.6666666666666572</v>
      </c>
    </row>
    <row r="16" spans="1:15" ht="18.75" x14ac:dyDescent="0.25">
      <c r="A16" s="2">
        <v>0.6</v>
      </c>
      <c r="B16" s="4">
        <f>IF('Gerar Hietograma'!$F$6=1,Ponto!B15,IF('Gerar Hietograma'!$F$6=2,A10a50!B16,IF('Gerar Hietograma'!$F$6=3,A50a400!B16)))</f>
        <v>88</v>
      </c>
      <c r="C16" s="4">
        <f>IF('Gerar Hietograma'!$F$6=1,Ponto!C15,IF('Gerar Hietograma'!$F$6=2,A10a50!C16,IF('Gerar Hietograma'!$F$6=3,A50a400!C16)))</f>
        <v>83</v>
      </c>
      <c r="D16" s="4">
        <f>IF('Gerar Hietograma'!$F$6=1,Ponto!D15,IF('Gerar Hietograma'!$F$6=2,A10a50!D16,IF('Gerar Hietograma'!$F$6=3,A50a400!D16)))</f>
        <v>55</v>
      </c>
      <c r="E16" s="4">
        <f>IF('Gerar Hietograma'!$F$6=1,Ponto!E15,IF('Gerar Hietograma'!$F$6=2,A10a50!E16,IF('Gerar Hietograma'!$F$6=3,A50a400!E16)))</f>
        <v>30</v>
      </c>
      <c r="F16" s="3">
        <v>13</v>
      </c>
      <c r="G16" s="1">
        <f>A16*'Gerar Hietograma'!$G$3</f>
        <v>108</v>
      </c>
      <c r="H16" s="1">
        <f>IF('Gerar Hietograma'!$F$5=1,'Gerar Hietograma'!$G$4/100*B16,IF('Gerar Hietograma'!$F$5=2,'Gerar Hietograma'!$G$4/100*C16,IF('Gerar Hietograma'!$F$5=3,'Gerar Hietograma'!$G$4/100*D16,IF('Gerar Hietograma'!$F$5=4,'Gerar Hietograma'!$G$4/100*E16,0))))</f>
        <v>105.6</v>
      </c>
      <c r="I16" s="1">
        <f>'Gerar Hietograma'!$G$3/'Gerar Hietograma'!$G$2*F15</f>
        <v>120</v>
      </c>
      <c r="J16">
        <f t="shared" si="0"/>
        <v>117</v>
      </c>
      <c r="K16">
        <f t="shared" si="1"/>
        <v>108</v>
      </c>
      <c r="L16" cm="1">
        <f t="array" ref="L16">INDEX(x_conhecido, MATCH(I16, x_conhecido, 1) + 1)</f>
        <v>125.99999999999999</v>
      </c>
      <c r="M16" cm="1">
        <f t="array" ref="M16">INDEX(y_conhecido, MATCH(I16,x_conhecido, 1) + 1)</f>
        <v>110.39999999999999</v>
      </c>
      <c r="N16">
        <f t="shared" si="2"/>
        <v>108.8</v>
      </c>
      <c r="O16">
        <f t="shared" si="3"/>
        <v>2.6666666666666714</v>
      </c>
    </row>
    <row r="17" spans="1:15" ht="18.75" x14ac:dyDescent="0.25">
      <c r="A17" s="2">
        <v>0.65</v>
      </c>
      <c r="B17" s="4">
        <f>IF('Gerar Hietograma'!$F$6=1,Ponto!B16,IF('Gerar Hietograma'!$F$6=2,A10a50!B17,IF('Gerar Hietograma'!$F$6=3,A50a400!B17)))</f>
        <v>90</v>
      </c>
      <c r="C17" s="4">
        <f>IF('Gerar Hietograma'!$F$6=1,Ponto!C16,IF('Gerar Hietograma'!$F$6=2,A10a50!C17,IF('Gerar Hietograma'!$F$6=3,A50a400!C17)))</f>
        <v>87</v>
      </c>
      <c r="D17" s="4">
        <f>IF('Gerar Hietograma'!$F$6=1,Ponto!D16,IF('Gerar Hietograma'!$F$6=2,A10a50!D17,IF('Gerar Hietograma'!$F$6=3,A50a400!D17)))</f>
        <v>69</v>
      </c>
      <c r="E17" s="4">
        <f>IF('Gerar Hietograma'!$F$6=1,Ponto!E16,IF('Gerar Hietograma'!$F$6=2,A10a50!E17,IF('Gerar Hietograma'!$F$6=3,A50a400!E17)))</f>
        <v>34</v>
      </c>
      <c r="F17" s="3">
        <v>14</v>
      </c>
      <c r="G17" s="1">
        <f>A17*'Gerar Hietograma'!$G$3</f>
        <v>117</v>
      </c>
      <c r="H17" s="1">
        <f>IF('Gerar Hietograma'!$F$5=1,'Gerar Hietograma'!$G$4/100*B17,IF('Gerar Hietograma'!$F$5=2,'Gerar Hietograma'!$G$4/100*C17,IF('Gerar Hietograma'!$F$5=3,'Gerar Hietograma'!$G$4/100*D17,IF('Gerar Hietograma'!$F$5=4,'Gerar Hietograma'!$G$4/100*E17,0))))</f>
        <v>108</v>
      </c>
      <c r="I17" s="1">
        <f>'Gerar Hietograma'!$G$3/'Gerar Hietograma'!$G$2*F16</f>
        <v>130</v>
      </c>
      <c r="J17">
        <f t="shared" si="0"/>
        <v>125.99999999999999</v>
      </c>
      <c r="K17">
        <f t="shared" si="1"/>
        <v>110.39999999999999</v>
      </c>
      <c r="L17" cm="1">
        <f t="array" ref="L17">INDEX(x_conhecido, MATCH(I17, x_conhecido, 1) + 1)</f>
        <v>135</v>
      </c>
      <c r="M17" cm="1">
        <f t="array" ref="M17">INDEX(y_conhecido, MATCH(I17,x_conhecido, 1) + 1)</f>
        <v>112.8</v>
      </c>
      <c r="N17">
        <f t="shared" si="2"/>
        <v>111.46666666666667</v>
      </c>
      <c r="O17">
        <f t="shared" si="3"/>
        <v>2.6666666666666714</v>
      </c>
    </row>
    <row r="18" spans="1:15" ht="18.75" x14ac:dyDescent="0.25">
      <c r="A18" s="2">
        <v>0.7</v>
      </c>
      <c r="B18" s="4">
        <f>IF('Gerar Hietograma'!$F$6=1,Ponto!B17,IF('Gerar Hietograma'!$F$6=2,A10a50!B18,IF('Gerar Hietograma'!$F$6=3,A50a400!B18)))</f>
        <v>92</v>
      </c>
      <c r="C18" s="4">
        <f>IF('Gerar Hietograma'!$F$6=1,Ponto!C17,IF('Gerar Hietograma'!$F$6=2,A10a50!C18,IF('Gerar Hietograma'!$F$6=3,A50a400!C18)))</f>
        <v>90</v>
      </c>
      <c r="D18" s="4">
        <f>IF('Gerar Hietograma'!$F$6=1,Ponto!D17,IF('Gerar Hietograma'!$F$6=2,A10a50!D18,IF('Gerar Hietograma'!$F$6=3,A50a400!D18)))</f>
        <v>79</v>
      </c>
      <c r="E18" s="4">
        <f>IF('Gerar Hietograma'!$F$6=1,Ponto!E17,IF('Gerar Hietograma'!$F$6=2,A10a50!E18,IF('Gerar Hietograma'!$F$6=3,A50a400!E18)))</f>
        <v>40</v>
      </c>
      <c r="F18" s="3">
        <v>15</v>
      </c>
      <c r="G18" s="1">
        <f>A18*'Gerar Hietograma'!$G$3</f>
        <v>125.99999999999999</v>
      </c>
      <c r="H18" s="1">
        <f>IF('Gerar Hietograma'!$F$5=1,'Gerar Hietograma'!$G$4/100*B18,IF('Gerar Hietograma'!$F$5=2,'Gerar Hietograma'!$G$4/100*C18,IF('Gerar Hietograma'!$F$5=3,'Gerar Hietograma'!$G$4/100*D18,IF('Gerar Hietograma'!$F$5=4,'Gerar Hietograma'!$G$4/100*E18,0))))</f>
        <v>110.39999999999999</v>
      </c>
      <c r="I18" s="1">
        <f>'Gerar Hietograma'!$G$3/'Gerar Hietograma'!$G$2*F17</f>
        <v>140</v>
      </c>
      <c r="J18">
        <f t="shared" si="0"/>
        <v>135</v>
      </c>
      <c r="K18">
        <f t="shared" si="1"/>
        <v>112.8</v>
      </c>
      <c r="L18" cm="1">
        <f t="array" ref="L18">INDEX(x_conhecido, MATCH(I18, x_conhecido, 1) + 1)</f>
        <v>144</v>
      </c>
      <c r="M18" cm="1">
        <f t="array" ref="M18">INDEX(y_conhecido, MATCH(I18,x_conhecido, 1) + 1)</f>
        <v>114</v>
      </c>
      <c r="N18">
        <f t="shared" si="2"/>
        <v>113.46666666666667</v>
      </c>
      <c r="O18">
        <f t="shared" si="3"/>
        <v>2</v>
      </c>
    </row>
    <row r="19" spans="1:15" ht="18.75" x14ac:dyDescent="0.25">
      <c r="A19" s="2">
        <v>0.75</v>
      </c>
      <c r="B19" s="4">
        <f>IF('Gerar Hietograma'!$F$6=1,Ponto!B18,IF('Gerar Hietograma'!$F$6=2,A10a50!B19,IF('Gerar Hietograma'!$F$6=3,A50a400!B19)))</f>
        <v>94</v>
      </c>
      <c r="C19" s="4">
        <f>IF('Gerar Hietograma'!$F$6=1,Ponto!C18,IF('Gerar Hietograma'!$F$6=2,A10a50!C19,IF('Gerar Hietograma'!$F$6=3,A50a400!C19)))</f>
        <v>92</v>
      </c>
      <c r="D19" s="4">
        <f>IF('Gerar Hietograma'!$F$6=1,Ponto!D18,IF('Gerar Hietograma'!$F$6=2,A10a50!D19,IF('Gerar Hietograma'!$F$6=3,A50a400!D19)))</f>
        <v>86</v>
      </c>
      <c r="E19" s="4">
        <f>IF('Gerar Hietograma'!$F$6=1,Ponto!E18,IF('Gerar Hietograma'!$F$6=2,A10a50!E19,IF('Gerar Hietograma'!$F$6=3,A50a400!E19)))</f>
        <v>47</v>
      </c>
      <c r="F19" s="3">
        <v>16</v>
      </c>
      <c r="G19" s="1">
        <f>A19*'Gerar Hietograma'!$G$3</f>
        <v>135</v>
      </c>
      <c r="H19" s="1">
        <f>IF('Gerar Hietograma'!$F$5=1,'Gerar Hietograma'!$G$4/100*B19,IF('Gerar Hietograma'!$F$5=2,'Gerar Hietograma'!$G$4/100*C19,IF('Gerar Hietograma'!$F$5=3,'Gerar Hietograma'!$G$4/100*D19,IF('Gerar Hietograma'!$F$5=4,'Gerar Hietograma'!$G$4/100*E19,0))))</f>
        <v>112.8</v>
      </c>
      <c r="I19" s="1">
        <f>'Gerar Hietograma'!$G$3/'Gerar Hietograma'!$G$2*F18</f>
        <v>150</v>
      </c>
      <c r="J19">
        <f t="shared" si="0"/>
        <v>144</v>
      </c>
      <c r="K19">
        <f t="shared" si="1"/>
        <v>114</v>
      </c>
      <c r="L19" cm="1">
        <f t="array" ref="L19">INDEX(x_conhecido, MATCH(I19, x_conhecido, 1) + 1)</f>
        <v>153</v>
      </c>
      <c r="M19" cm="1">
        <f t="array" ref="M19">INDEX(y_conhecido, MATCH(I19,x_conhecido, 1) + 1)</f>
        <v>115.19999999999999</v>
      </c>
      <c r="N19">
        <f t="shared" si="2"/>
        <v>114.8</v>
      </c>
      <c r="O19">
        <f t="shared" si="3"/>
        <v>1.3333333333333286</v>
      </c>
    </row>
    <row r="20" spans="1:15" ht="18.75" x14ac:dyDescent="0.25">
      <c r="A20" s="2">
        <v>0.8</v>
      </c>
      <c r="B20" s="4">
        <f>IF('Gerar Hietograma'!$F$6=1,Ponto!B19,IF('Gerar Hietograma'!$F$6=2,A10a50!B20,IF('Gerar Hietograma'!$F$6=3,A50a400!B20)))</f>
        <v>95</v>
      </c>
      <c r="C20" s="4">
        <f>IF('Gerar Hietograma'!$F$6=1,Ponto!C19,IF('Gerar Hietograma'!$F$6=2,A10a50!C20,IF('Gerar Hietograma'!$F$6=3,A50a400!C20)))</f>
        <v>94</v>
      </c>
      <c r="D20" s="4">
        <f>IF('Gerar Hietograma'!$F$6=1,Ponto!D19,IF('Gerar Hietograma'!$F$6=2,A10a50!D20,IF('Gerar Hietograma'!$F$6=3,A50a400!D20)))</f>
        <v>91</v>
      </c>
      <c r="E20" s="4">
        <f>IF('Gerar Hietograma'!$F$6=1,Ponto!E19,IF('Gerar Hietograma'!$F$6=2,A10a50!E20,IF('Gerar Hietograma'!$F$6=3,A50a400!E20)))</f>
        <v>57</v>
      </c>
      <c r="F20" s="3">
        <v>17</v>
      </c>
      <c r="G20" s="1">
        <f>A20*'Gerar Hietograma'!$G$3</f>
        <v>144</v>
      </c>
      <c r="H20" s="1">
        <f>IF('Gerar Hietograma'!$F$5=1,'Gerar Hietograma'!$G$4/100*B20,IF('Gerar Hietograma'!$F$5=2,'Gerar Hietograma'!$G$4/100*C20,IF('Gerar Hietograma'!$F$5=3,'Gerar Hietograma'!$G$4/100*D20,IF('Gerar Hietograma'!$F$5=4,'Gerar Hietograma'!$G$4/100*E20,0))))</f>
        <v>114</v>
      </c>
      <c r="I20" s="1">
        <f>'Gerar Hietograma'!$G$3/'Gerar Hietograma'!$G$2*F19</f>
        <v>160</v>
      </c>
      <c r="J20">
        <f t="shared" si="0"/>
        <v>153</v>
      </c>
      <c r="K20">
        <f t="shared" si="1"/>
        <v>115.19999999999999</v>
      </c>
      <c r="L20" cm="1">
        <f t="array" ref="L20">INDEX(x_conhecido, MATCH(I20, x_conhecido, 1) + 1)</f>
        <v>162</v>
      </c>
      <c r="M20" cm="1">
        <f t="array" ref="M20">INDEX(y_conhecido, MATCH(I20,x_conhecido, 1) + 1)</f>
        <v>116.39999999999999</v>
      </c>
      <c r="N20">
        <f t="shared" si="2"/>
        <v>116.13333333333333</v>
      </c>
      <c r="O20">
        <f t="shared" si="3"/>
        <v>1.3333333333333286</v>
      </c>
    </row>
    <row r="21" spans="1:15" ht="18.75" x14ac:dyDescent="0.25">
      <c r="A21" s="2">
        <v>0.85</v>
      </c>
      <c r="B21" s="4">
        <f>IF('Gerar Hietograma'!$F$6=1,Ponto!B20,IF('Gerar Hietograma'!$F$6=2,A10a50!B21,IF('Gerar Hietograma'!$F$6=3,A50a400!B21)))</f>
        <v>96</v>
      </c>
      <c r="C21" s="4">
        <f>IF('Gerar Hietograma'!$F$6=1,Ponto!C20,IF('Gerar Hietograma'!$F$6=2,A10a50!C21,IF('Gerar Hietograma'!$F$6=3,A50a400!C21)))</f>
        <v>96</v>
      </c>
      <c r="D21" s="4">
        <f>IF('Gerar Hietograma'!$F$6=1,Ponto!D20,IF('Gerar Hietograma'!$F$6=2,A10a50!D21,IF('Gerar Hietograma'!$F$6=3,A50a400!D21)))</f>
        <v>94</v>
      </c>
      <c r="E21" s="4">
        <f>IF('Gerar Hietograma'!$F$6=1,Ponto!E20,IF('Gerar Hietograma'!$F$6=2,A10a50!E21,IF('Gerar Hietograma'!$F$6=3,A50a400!E21)))</f>
        <v>74</v>
      </c>
      <c r="F21" s="3">
        <v>18</v>
      </c>
      <c r="G21" s="1">
        <f>A21*'Gerar Hietograma'!$G$3</f>
        <v>153</v>
      </c>
      <c r="H21" s="1">
        <f>IF('Gerar Hietograma'!$F$5=1,'Gerar Hietograma'!$G$4/100*B21,IF('Gerar Hietograma'!$F$5=2,'Gerar Hietograma'!$G$4/100*C21,IF('Gerar Hietograma'!$F$5=3,'Gerar Hietograma'!$G$4/100*D21,IF('Gerar Hietograma'!$F$5=4,'Gerar Hietograma'!$G$4/100*E21,0))))</f>
        <v>115.19999999999999</v>
      </c>
      <c r="I21" s="1">
        <f>'Gerar Hietograma'!$G$3/'Gerar Hietograma'!$G$2*F20</f>
        <v>170</v>
      </c>
      <c r="J21">
        <f t="shared" si="0"/>
        <v>162</v>
      </c>
      <c r="K21">
        <f t="shared" si="1"/>
        <v>116.39999999999999</v>
      </c>
      <c r="L21" cm="1">
        <f t="array" ref="L21">INDEX(x_conhecido, MATCH(I21, x_conhecido, 1) + 1)</f>
        <v>171</v>
      </c>
      <c r="M21" cm="1">
        <f t="array" ref="M21">INDEX(y_conhecido, MATCH(I21,x_conhecido, 1) + 1)</f>
        <v>117.6</v>
      </c>
      <c r="N21">
        <f t="shared" si="2"/>
        <v>117.46666666666665</v>
      </c>
      <c r="O21">
        <f t="shared" si="3"/>
        <v>1.3333333333333286</v>
      </c>
    </row>
    <row r="22" spans="1:15" ht="18.75" x14ac:dyDescent="0.25">
      <c r="A22" s="2">
        <v>0.9</v>
      </c>
      <c r="B22" s="4">
        <f>IF('Gerar Hietograma'!$F$6=1,Ponto!B21,IF('Gerar Hietograma'!$F$6=2,A10a50!B22,IF('Gerar Hietograma'!$F$6=3,A50a400!B22)))</f>
        <v>97</v>
      </c>
      <c r="C22" s="4">
        <f>IF('Gerar Hietograma'!$F$6=1,Ponto!C21,IF('Gerar Hietograma'!$F$6=2,A10a50!C22,IF('Gerar Hietograma'!$F$6=3,A50a400!C22)))</f>
        <v>97</v>
      </c>
      <c r="D22" s="4">
        <f>IF('Gerar Hietograma'!$F$6=1,Ponto!D21,IF('Gerar Hietograma'!$F$6=2,A10a50!D22,IF('Gerar Hietograma'!$F$6=3,A50a400!D22)))</f>
        <v>96</v>
      </c>
      <c r="E22" s="4">
        <f>IF('Gerar Hietograma'!$F$6=1,Ponto!E21,IF('Gerar Hietograma'!$F$6=2,A10a50!E22,IF('Gerar Hietograma'!$F$6=3,A50a400!E22)))</f>
        <v>88</v>
      </c>
      <c r="F22" s="3">
        <v>19</v>
      </c>
      <c r="G22" s="1">
        <f>A22*'Gerar Hietograma'!$G$3</f>
        <v>162</v>
      </c>
      <c r="H22" s="1">
        <f>IF('Gerar Hietograma'!$F$5=1,'Gerar Hietograma'!$G$4/100*B22,IF('Gerar Hietograma'!$F$5=2,'Gerar Hietograma'!$G$4/100*C22,IF('Gerar Hietograma'!$F$5=3,'Gerar Hietograma'!$G$4/100*D22,IF('Gerar Hietograma'!$F$5=4,'Gerar Hietograma'!$G$4/100*E22,0))))</f>
        <v>116.39999999999999</v>
      </c>
      <c r="I22" s="1">
        <f>'Gerar Hietograma'!$G$3/'Gerar Hietograma'!$G$2*F21</f>
        <v>180</v>
      </c>
      <c r="J22">
        <f t="shared" si="0"/>
        <v>180</v>
      </c>
      <c r="K22">
        <f t="shared" si="1"/>
        <v>120</v>
      </c>
      <c r="L22" t="e" cm="1">
        <f t="array" ref="L22">INDEX(x_conhecido, MATCH(I22, x_conhecido, 1) + 1)</f>
        <v>#REF!</v>
      </c>
      <c r="M22" t="e" cm="1">
        <f t="array" ref="M22">INDEX(y_conhecido, MATCH(I22,x_conhecido, 1) + 1)</f>
        <v>#REF!</v>
      </c>
      <c r="N22">
        <f t="shared" si="2"/>
        <v>120</v>
      </c>
      <c r="O22">
        <f t="shared" si="3"/>
        <v>2.5333333333333456</v>
      </c>
    </row>
    <row r="23" spans="1:15" ht="18.75" x14ac:dyDescent="0.25">
      <c r="A23" s="2">
        <v>0.95</v>
      </c>
      <c r="B23" s="4">
        <f>IF('Gerar Hietograma'!$F$6=1,Ponto!B22,IF('Gerar Hietograma'!$F$6=2,A10a50!B23,IF('Gerar Hietograma'!$F$6=3,A50a400!B23)))</f>
        <v>98</v>
      </c>
      <c r="C23" s="4">
        <f>IF('Gerar Hietograma'!$F$6=1,Ponto!C22,IF('Gerar Hietograma'!$F$6=2,A10a50!C23,IF('Gerar Hietograma'!$F$6=3,A50a400!C23)))</f>
        <v>98</v>
      </c>
      <c r="D23" s="4">
        <f>IF('Gerar Hietograma'!$F$6=1,Ponto!D22,IF('Gerar Hietograma'!$F$6=2,A10a50!D23,IF('Gerar Hietograma'!$F$6=3,A50a400!D23)))</f>
        <v>98</v>
      </c>
      <c r="E23" s="4">
        <f>IF('Gerar Hietograma'!$F$6=1,Ponto!E22,IF('Gerar Hietograma'!$F$6=2,A10a50!E23,IF('Gerar Hietograma'!$F$6=3,A50a400!E23)))</f>
        <v>95</v>
      </c>
      <c r="F23" s="3">
        <v>20</v>
      </c>
      <c r="G23" s="1">
        <f>A23*'Gerar Hietograma'!$G$3</f>
        <v>171</v>
      </c>
      <c r="H23" s="1">
        <f>IF('Gerar Hietograma'!$F$5=1,'Gerar Hietograma'!$G$4/100*B23,IF('Gerar Hietograma'!$F$5=2,'Gerar Hietograma'!$G$4/100*C23,IF('Gerar Hietograma'!$F$5=3,'Gerar Hietograma'!$G$4/100*D23,IF('Gerar Hietograma'!$F$5=4,'Gerar Hietograma'!$G$4/100*E23,0))))</f>
        <v>117.6</v>
      </c>
      <c r="I23" s="1">
        <f>'Gerar Hietograma'!$G$3/'Gerar Hietograma'!$G$2*F22</f>
        <v>190</v>
      </c>
      <c r="J23">
        <f t="shared" si="0"/>
        <v>180</v>
      </c>
      <c r="K23">
        <f t="shared" si="1"/>
        <v>120</v>
      </c>
      <c r="L23" t="e" cm="1">
        <f t="array" ref="L23">INDEX(x_conhecido, MATCH(I23, x_conhecido, 1) + 1)</f>
        <v>#REF!</v>
      </c>
      <c r="M23" t="e" cm="1">
        <f t="array" ref="M23">INDEX(y_conhecido, MATCH(I23,x_conhecido, 1) + 1)</f>
        <v>#REF!</v>
      </c>
      <c r="N23">
        <f t="shared" si="2"/>
        <v>120</v>
      </c>
      <c r="O23">
        <f t="shared" si="3"/>
        <v>0</v>
      </c>
    </row>
    <row r="24" spans="1:15" ht="18.75" x14ac:dyDescent="0.25">
      <c r="A24" s="2">
        <v>1</v>
      </c>
      <c r="B24" s="4">
        <f>IF('Gerar Hietograma'!$F$6=1,Ponto!B23,IF('Gerar Hietograma'!$F$6=2,A10a50!B24,IF('Gerar Hietograma'!$F$6=3,A50a400!B24)))</f>
        <v>100</v>
      </c>
      <c r="C24" s="4">
        <f>IF('Gerar Hietograma'!$F$6=1,Ponto!C23,IF('Gerar Hietograma'!$F$6=2,A10a50!C24,IF('Gerar Hietograma'!$F$6=3,A50a400!C24)))</f>
        <v>100</v>
      </c>
      <c r="D24" s="4">
        <f>IF('Gerar Hietograma'!$F$6=1,Ponto!D23,IF('Gerar Hietograma'!$F$6=2,A10a50!D24,IF('Gerar Hietograma'!$F$6=3,A50a400!D24)))</f>
        <v>100</v>
      </c>
      <c r="E24" s="4">
        <f>IF('Gerar Hietograma'!$F$6=1,Ponto!E23,IF('Gerar Hietograma'!$F$6=2,A10a50!E24,IF('Gerar Hietograma'!$F$6=3,A50a400!E24)))</f>
        <v>100</v>
      </c>
      <c r="F24" s="3">
        <v>21</v>
      </c>
      <c r="G24" s="1">
        <f>A24*'Gerar Hietograma'!$G$3</f>
        <v>180</v>
      </c>
      <c r="H24" s="1">
        <f>IF('Gerar Hietograma'!$F$5=1,'Gerar Hietograma'!$G$4/100*B24,IF('Gerar Hietograma'!$F$5=2,'Gerar Hietograma'!$G$4/100*C24,IF('Gerar Hietograma'!$F$5=3,'Gerar Hietograma'!$G$4/100*D24,IF('Gerar Hietograma'!$F$5=4,'Gerar Hietograma'!$G$4/100*E24,0))))</f>
        <v>120</v>
      </c>
      <c r="I24" s="1">
        <f>'Gerar Hietograma'!$G$3/'Gerar Hietograma'!$G$2*F23</f>
        <v>200</v>
      </c>
      <c r="J24">
        <f t="shared" si="0"/>
        <v>180</v>
      </c>
      <c r="K24">
        <f t="shared" si="1"/>
        <v>120</v>
      </c>
      <c r="L24" t="e" cm="1">
        <f t="array" ref="L24">INDEX(x_conhecido, MATCH(I24, x_conhecido, 1) + 1)</f>
        <v>#REF!</v>
      </c>
      <c r="M24" t="e" cm="1">
        <f t="array" ref="M24">INDEX(y_conhecido, MATCH(I24,x_conhecido, 1) + 1)</f>
        <v>#REF!</v>
      </c>
      <c r="N24">
        <f t="shared" si="2"/>
        <v>120</v>
      </c>
      <c r="O24">
        <f t="shared" si="3"/>
        <v>0</v>
      </c>
    </row>
    <row r="25" spans="1:15" x14ac:dyDescent="0.25">
      <c r="F25" s="3">
        <v>22</v>
      </c>
      <c r="G25" s="1">
        <v>0</v>
      </c>
      <c r="H25" s="1">
        <f>IF('Gerar Hietograma'!$F$5=1,'Gerar Hietograma'!$G$4/100*B25,IF('Gerar Hietograma'!$F$5=2,'Gerar Hietograma'!$G$4/100*C25,IF('Gerar Hietograma'!$F$5=3,'Gerar Hietograma'!$G$4/100*D25,IF('Gerar Hietograma'!$F$5=4,'Gerar Hietograma'!$G$4/100*E25,0))))</f>
        <v>0</v>
      </c>
      <c r="I25" s="1">
        <f>'Gerar Hietograma'!$G$3/'Gerar Hietograma'!$G$2*F24</f>
        <v>210</v>
      </c>
      <c r="J25">
        <f t="shared" si="0"/>
        <v>180</v>
      </c>
      <c r="K25">
        <f t="shared" si="1"/>
        <v>120</v>
      </c>
      <c r="L25" t="e" cm="1">
        <f t="array" ref="L25">INDEX(x_conhecido, MATCH(I25, x_conhecido, 1) + 1)</f>
        <v>#REF!</v>
      </c>
      <c r="M25" t="e" cm="1">
        <f t="array" ref="M25">INDEX(y_conhecido, MATCH(I25,x_conhecido, 1) + 1)</f>
        <v>#REF!</v>
      </c>
      <c r="N25">
        <f t="shared" si="2"/>
        <v>120</v>
      </c>
      <c r="O25">
        <f t="shared" si="3"/>
        <v>0</v>
      </c>
    </row>
    <row r="26" spans="1:15" x14ac:dyDescent="0.25">
      <c r="A26" s="1" t="s">
        <v>23</v>
      </c>
      <c r="F26" s="3">
        <v>23</v>
      </c>
      <c r="G26" s="1">
        <v>0</v>
      </c>
      <c r="H26" s="1">
        <f>IF('Gerar Hietograma'!$F$5=1,'Gerar Hietograma'!$G$4/100*B26,IF('Gerar Hietograma'!$F$5=2,'Gerar Hietograma'!$G$4/100*C26,IF('Gerar Hietograma'!$F$5=3,'Gerar Hietograma'!$G$4/100*D26,IF('Gerar Hietograma'!$F$5=4,'Gerar Hietograma'!$G$4/100*E26,0))))</f>
        <v>0</v>
      </c>
      <c r="I26" s="1">
        <f>'Gerar Hietograma'!$G$3/'Gerar Hietograma'!$G$2*F25</f>
        <v>220</v>
      </c>
      <c r="J26">
        <f t="shared" si="0"/>
        <v>180</v>
      </c>
      <c r="K26">
        <f t="shared" si="1"/>
        <v>120</v>
      </c>
      <c r="L26" t="e" cm="1">
        <f t="array" ref="L26">INDEX(x_conhecido, MATCH(I26, x_conhecido, 1) + 1)</f>
        <v>#REF!</v>
      </c>
      <c r="M26" t="e" cm="1">
        <f t="array" ref="M26">INDEX(y_conhecido, MATCH(I26,x_conhecido, 1) + 1)</f>
        <v>#REF!</v>
      </c>
      <c r="N26">
        <f t="shared" si="2"/>
        <v>120</v>
      </c>
      <c r="O26">
        <f t="shared" si="3"/>
        <v>0</v>
      </c>
    </row>
    <row r="27" spans="1:15" x14ac:dyDescent="0.25">
      <c r="A27" s="1" t="s">
        <v>24</v>
      </c>
      <c r="F27" s="3">
        <v>24</v>
      </c>
      <c r="G27" s="1">
        <v>0</v>
      </c>
      <c r="H27" s="1">
        <f>IF('Gerar Hietograma'!$F$5=1,'Gerar Hietograma'!$G$4/100*B27,IF('Gerar Hietograma'!$F$5=2,'Gerar Hietograma'!$G$4/100*C27,IF('Gerar Hietograma'!$F$5=3,'Gerar Hietograma'!$G$4/100*D27,IF('Gerar Hietograma'!$F$5=4,'Gerar Hietograma'!$G$4/100*E27,0))))</f>
        <v>0</v>
      </c>
      <c r="I27" s="1">
        <f>'Gerar Hietograma'!$G$3/'Gerar Hietograma'!$G$2*F26</f>
        <v>230</v>
      </c>
      <c r="J27">
        <f t="shared" si="0"/>
        <v>180</v>
      </c>
      <c r="K27">
        <f t="shared" si="1"/>
        <v>120</v>
      </c>
      <c r="L27" t="e" cm="1">
        <f t="array" ref="L27">INDEX(x_conhecido, MATCH(I27, x_conhecido, 1) + 1)</f>
        <v>#REF!</v>
      </c>
      <c r="M27" t="e" cm="1">
        <f t="array" ref="M27">INDEX(y_conhecido, MATCH(I27,x_conhecido, 1) + 1)</f>
        <v>#REF!</v>
      </c>
      <c r="N27">
        <f t="shared" si="2"/>
        <v>120</v>
      </c>
      <c r="O27">
        <f t="shared" si="3"/>
        <v>0</v>
      </c>
    </row>
    <row r="28" spans="1:15" x14ac:dyDescent="0.25">
      <c r="A28" s="1" t="s">
        <v>25</v>
      </c>
      <c r="F28" s="3">
        <v>25</v>
      </c>
      <c r="G28" s="1">
        <v>0</v>
      </c>
      <c r="H28" s="1">
        <f>IF('Gerar Hietograma'!$F$5=1,'Gerar Hietograma'!$G$4/100*B28,IF('Gerar Hietograma'!$F$5=2,'Gerar Hietograma'!$G$4/100*C28,IF('Gerar Hietograma'!$F$5=3,'Gerar Hietograma'!$G$4/100*D28,IF('Gerar Hietograma'!$F$5=4,'Gerar Hietograma'!$G$4/100*E28,0))))</f>
        <v>0</v>
      </c>
      <c r="I28" s="1">
        <f>'Gerar Hietograma'!$G$3/'Gerar Hietograma'!$G$2*F27</f>
        <v>240</v>
      </c>
      <c r="J28">
        <f t="shared" si="0"/>
        <v>180</v>
      </c>
      <c r="K28">
        <f t="shared" si="1"/>
        <v>120</v>
      </c>
      <c r="L28" t="e" cm="1">
        <f t="array" ref="L28">INDEX(x_conhecido, MATCH(I28, x_conhecido, 1) + 1)</f>
        <v>#REF!</v>
      </c>
      <c r="M28" t="e" cm="1">
        <f t="array" ref="M28">INDEX(y_conhecido, MATCH(I28,x_conhecido, 1) + 1)</f>
        <v>#REF!</v>
      </c>
      <c r="N28">
        <f t="shared" si="2"/>
        <v>120</v>
      </c>
      <c r="O28">
        <f t="shared" si="3"/>
        <v>0</v>
      </c>
    </row>
    <row r="29" spans="1:15" x14ac:dyDescent="0.25">
      <c r="A29" s="1" t="s">
        <v>22</v>
      </c>
      <c r="F29" s="3">
        <v>26</v>
      </c>
      <c r="G29" s="1">
        <v>0</v>
      </c>
      <c r="H29" s="1">
        <f>IF('Gerar Hietograma'!$F$5=1,'Gerar Hietograma'!$G$4/100*B29,IF('Gerar Hietograma'!$F$5=2,'Gerar Hietograma'!$G$4/100*C29,IF('Gerar Hietograma'!$F$5=3,'Gerar Hietograma'!$G$4/100*D29,IF('Gerar Hietograma'!$F$5=4,'Gerar Hietograma'!$G$4/100*E29,0))))</f>
        <v>0</v>
      </c>
      <c r="I29" s="1">
        <f>'Gerar Hietograma'!$G$3/'Gerar Hietograma'!$G$2*F28</f>
        <v>250</v>
      </c>
      <c r="J29">
        <f t="shared" si="0"/>
        <v>180</v>
      </c>
      <c r="K29">
        <f t="shared" si="1"/>
        <v>120</v>
      </c>
      <c r="L29" t="e" cm="1">
        <f t="array" ref="L29">INDEX(x_conhecido, MATCH(I29, x_conhecido, 1) + 1)</f>
        <v>#REF!</v>
      </c>
      <c r="M29" t="e" cm="1">
        <f t="array" ref="M29">INDEX(y_conhecido, MATCH(I29,x_conhecido, 1) + 1)</f>
        <v>#REF!</v>
      </c>
      <c r="N29">
        <f t="shared" si="2"/>
        <v>120</v>
      </c>
      <c r="O29">
        <f t="shared" si="3"/>
        <v>0</v>
      </c>
    </row>
    <row r="30" spans="1:15" x14ac:dyDescent="0.25">
      <c r="F30" s="3">
        <v>27</v>
      </c>
      <c r="G30" s="1">
        <v>0</v>
      </c>
      <c r="H30" s="1">
        <f>IF('Gerar Hietograma'!$F$5=1,'Gerar Hietograma'!$G$4/100*B30,IF('Gerar Hietograma'!$F$5=2,'Gerar Hietograma'!$G$4/100*C30,IF('Gerar Hietograma'!$F$5=3,'Gerar Hietograma'!$G$4/100*D30,IF('Gerar Hietograma'!$F$5=4,'Gerar Hietograma'!$G$4/100*E30,0))))</f>
        <v>0</v>
      </c>
      <c r="I30" s="1">
        <f>'Gerar Hietograma'!$G$3/'Gerar Hietograma'!$G$2*F29</f>
        <v>260</v>
      </c>
      <c r="J30">
        <f t="shared" si="0"/>
        <v>180</v>
      </c>
      <c r="K30">
        <f t="shared" si="1"/>
        <v>120</v>
      </c>
      <c r="L30" t="e" cm="1">
        <f t="array" ref="L30">INDEX(x_conhecido, MATCH(I30, x_conhecido, 1) + 1)</f>
        <v>#REF!</v>
      </c>
      <c r="M30" t="e" cm="1">
        <f t="array" ref="M30">INDEX(y_conhecido, MATCH(I30,x_conhecido, 1) + 1)</f>
        <v>#REF!</v>
      </c>
      <c r="N30">
        <f t="shared" si="2"/>
        <v>120</v>
      </c>
      <c r="O30">
        <f t="shared" si="3"/>
        <v>0</v>
      </c>
    </row>
    <row r="31" spans="1:15" x14ac:dyDescent="0.25">
      <c r="A31" t="s">
        <v>28</v>
      </c>
      <c r="F31" s="3">
        <v>28</v>
      </c>
      <c r="G31" s="1">
        <v>0</v>
      </c>
      <c r="H31" s="1">
        <f>IF('Gerar Hietograma'!$F$5=1,'Gerar Hietograma'!$G$4/100*B31,IF('Gerar Hietograma'!$F$5=2,'Gerar Hietograma'!$G$4/100*C31,IF('Gerar Hietograma'!$F$5=3,'Gerar Hietograma'!$G$4/100*D31,IF('Gerar Hietograma'!$F$5=4,'Gerar Hietograma'!$G$4/100*E31,0))))</f>
        <v>0</v>
      </c>
      <c r="I31" s="1">
        <f>'Gerar Hietograma'!$G$3/'Gerar Hietograma'!$G$2*F30</f>
        <v>270</v>
      </c>
      <c r="J31">
        <f t="shared" si="0"/>
        <v>180</v>
      </c>
      <c r="K31">
        <f t="shared" si="1"/>
        <v>120</v>
      </c>
      <c r="L31" t="e" cm="1">
        <f t="array" ref="L31">INDEX(x_conhecido, MATCH(I31, x_conhecido, 1) + 1)</f>
        <v>#REF!</v>
      </c>
      <c r="M31" t="e" cm="1">
        <f t="array" ref="M31">INDEX(y_conhecido, MATCH(I31,x_conhecido, 1) + 1)</f>
        <v>#REF!</v>
      </c>
      <c r="N31">
        <f t="shared" si="2"/>
        <v>120</v>
      </c>
      <c r="O31">
        <f t="shared" si="3"/>
        <v>0</v>
      </c>
    </row>
    <row r="32" spans="1:15" x14ac:dyDescent="0.25">
      <c r="A32" t="s">
        <v>29</v>
      </c>
      <c r="F32" s="3">
        <v>29</v>
      </c>
      <c r="G32" s="1">
        <v>0</v>
      </c>
      <c r="H32" s="1">
        <f>IF('Gerar Hietograma'!$F$5=1,'Gerar Hietograma'!$G$4/100*B32,IF('Gerar Hietograma'!$F$5=2,'Gerar Hietograma'!$G$4/100*C32,IF('Gerar Hietograma'!$F$5=3,'Gerar Hietograma'!$G$4/100*D32,IF('Gerar Hietograma'!$F$5=4,'Gerar Hietograma'!$G$4/100*E32,0))))</f>
        <v>0</v>
      </c>
      <c r="I32" s="1">
        <f>'Gerar Hietograma'!$G$3/'Gerar Hietograma'!$G$2*F31</f>
        <v>280</v>
      </c>
      <c r="J32">
        <f t="shared" si="0"/>
        <v>180</v>
      </c>
      <c r="K32">
        <f t="shared" si="1"/>
        <v>120</v>
      </c>
      <c r="L32" t="e" cm="1">
        <f t="array" ref="L32">INDEX(x_conhecido, MATCH(I32, x_conhecido, 1) + 1)</f>
        <v>#REF!</v>
      </c>
      <c r="M32" t="e" cm="1">
        <f t="array" ref="M32">INDEX(y_conhecido, MATCH(I32,x_conhecido, 1) + 1)</f>
        <v>#REF!</v>
      </c>
      <c r="N32">
        <f t="shared" si="2"/>
        <v>120</v>
      </c>
      <c r="O32">
        <f t="shared" si="3"/>
        <v>0</v>
      </c>
    </row>
    <row r="33" spans="1:15" x14ac:dyDescent="0.25">
      <c r="A33" t="s">
        <v>30</v>
      </c>
      <c r="F33" s="3">
        <v>30</v>
      </c>
      <c r="G33" s="1">
        <v>0</v>
      </c>
      <c r="H33" s="1">
        <f>IF('Gerar Hietograma'!$F$5=1,'Gerar Hietograma'!$G$4/100*B33,IF('Gerar Hietograma'!$F$5=2,'Gerar Hietograma'!$G$4/100*C33,IF('Gerar Hietograma'!$F$5=3,'Gerar Hietograma'!$G$4/100*D33,IF('Gerar Hietograma'!$F$5=4,'Gerar Hietograma'!$G$4/100*E33,0))))</f>
        <v>0</v>
      </c>
      <c r="I33" s="1">
        <f>'Gerar Hietograma'!$G$3/'Gerar Hietograma'!$G$2*F32</f>
        <v>290</v>
      </c>
      <c r="J33">
        <f t="shared" si="0"/>
        <v>180</v>
      </c>
      <c r="K33">
        <f t="shared" si="1"/>
        <v>120</v>
      </c>
      <c r="L33" t="e" cm="1">
        <f t="array" ref="L33">INDEX(x_conhecido, MATCH(I33, x_conhecido, 1) + 1)</f>
        <v>#REF!</v>
      </c>
      <c r="M33" t="e" cm="1">
        <f t="array" ref="M33">INDEX(y_conhecido, MATCH(I33,x_conhecido, 1) + 1)</f>
        <v>#REF!</v>
      </c>
      <c r="N33">
        <f t="shared" si="2"/>
        <v>120</v>
      </c>
      <c r="O33">
        <f t="shared" si="3"/>
        <v>0</v>
      </c>
    </row>
    <row r="34" spans="1:15" x14ac:dyDescent="0.25">
      <c r="F34" s="3">
        <v>31</v>
      </c>
      <c r="G34" s="1">
        <v>0</v>
      </c>
      <c r="H34" s="1">
        <f>IF('Gerar Hietograma'!$F$5=1,'Gerar Hietograma'!$G$4/100*B34,IF('Gerar Hietograma'!$F$5=2,'Gerar Hietograma'!$G$4/100*C34,IF('Gerar Hietograma'!$F$5=3,'Gerar Hietograma'!$G$4/100*D34,IF('Gerar Hietograma'!$F$5=4,'Gerar Hietograma'!$G$4/100*E34,0))))</f>
        <v>0</v>
      </c>
      <c r="I34" s="1">
        <f>'Gerar Hietograma'!$G$3/'Gerar Hietograma'!$G$2*F33</f>
        <v>300</v>
      </c>
      <c r="J34">
        <f t="shared" si="0"/>
        <v>180</v>
      </c>
      <c r="K34">
        <f t="shared" si="1"/>
        <v>120</v>
      </c>
      <c r="L34" t="e" cm="1">
        <f t="array" ref="L34">INDEX(x_conhecido, MATCH(I34, x_conhecido, 1) + 1)</f>
        <v>#REF!</v>
      </c>
      <c r="M34" t="e" cm="1">
        <f t="array" ref="M34">INDEX(y_conhecido, MATCH(I34,x_conhecido, 1) + 1)</f>
        <v>#REF!</v>
      </c>
      <c r="N34">
        <f t="shared" si="2"/>
        <v>120</v>
      </c>
      <c r="O34">
        <f t="shared" si="3"/>
        <v>0</v>
      </c>
    </row>
    <row r="35" spans="1:15" x14ac:dyDescent="0.25">
      <c r="F35" s="3">
        <v>32</v>
      </c>
      <c r="G35" s="1">
        <v>0</v>
      </c>
      <c r="H35" s="1">
        <f>IF('Gerar Hietograma'!$F$5=1,'Gerar Hietograma'!$G$4/100*B35,IF('Gerar Hietograma'!$F$5=2,'Gerar Hietograma'!$G$4/100*C35,IF('Gerar Hietograma'!$F$5=3,'Gerar Hietograma'!$G$4/100*D35,IF('Gerar Hietograma'!$F$5=4,'Gerar Hietograma'!$G$4/100*E35,0))))</f>
        <v>0</v>
      </c>
      <c r="I35" s="1">
        <f>'Gerar Hietograma'!$G$3/'Gerar Hietograma'!$G$2*F34</f>
        <v>310</v>
      </c>
      <c r="J35">
        <f t="shared" si="0"/>
        <v>180</v>
      </c>
      <c r="K35">
        <f t="shared" si="1"/>
        <v>120</v>
      </c>
      <c r="L35" t="e" cm="1">
        <f t="array" ref="L35">INDEX(x_conhecido, MATCH(I35, x_conhecido, 1) + 1)</f>
        <v>#REF!</v>
      </c>
      <c r="M35" t="e" cm="1">
        <f t="array" ref="M35">INDEX(y_conhecido, MATCH(I35,x_conhecido, 1) + 1)</f>
        <v>#REF!</v>
      </c>
      <c r="N35">
        <f t="shared" si="2"/>
        <v>120</v>
      </c>
      <c r="O35">
        <f t="shared" si="3"/>
        <v>0</v>
      </c>
    </row>
    <row r="36" spans="1:15" x14ac:dyDescent="0.25">
      <c r="F36" s="3">
        <v>33</v>
      </c>
      <c r="G36" s="1">
        <v>0</v>
      </c>
      <c r="H36" s="1">
        <f>IF('Gerar Hietograma'!$F$5=1,'Gerar Hietograma'!$G$4/100*B36,IF('Gerar Hietograma'!$F$5=2,'Gerar Hietograma'!$G$4/100*C36,IF('Gerar Hietograma'!$F$5=3,'Gerar Hietograma'!$G$4/100*D36,IF('Gerar Hietograma'!$F$5=4,'Gerar Hietograma'!$G$4/100*E36,0))))</f>
        <v>0</v>
      </c>
      <c r="I36" s="1">
        <f>'Gerar Hietograma'!$G$3/'Gerar Hietograma'!$G$2*F35</f>
        <v>320</v>
      </c>
      <c r="J36">
        <f t="shared" ref="J36:J67" si="4">INDEX(x_conhecido,MATCH(I36,x_conhecido,1))</f>
        <v>180</v>
      </c>
      <c r="K36">
        <f t="shared" ref="K36:K67" si="5">INDEX(y_conhecido,MATCH(I36,x_conhecido,1))</f>
        <v>120</v>
      </c>
      <c r="L36" t="e" cm="1">
        <f t="array" ref="L36">INDEX(x_conhecido, MATCH(I36, x_conhecido, 1) + 1)</f>
        <v>#REF!</v>
      </c>
      <c r="M36" t="e" cm="1">
        <f t="array" ref="M36">INDEX(y_conhecido, MATCH(I36,x_conhecido, 1) + 1)</f>
        <v>#REF!</v>
      </c>
      <c r="N36">
        <f t="shared" ref="N36:N67" si="6">IF(MATCH(I36,x_conhecido,1)=COUNTA(x_conhecido),K36,K36+(M36-K36)*(I36-J36)/(L36-J36))</f>
        <v>120</v>
      </c>
      <c r="O36">
        <f t="shared" si="3"/>
        <v>0</v>
      </c>
    </row>
    <row r="37" spans="1:15" x14ac:dyDescent="0.25">
      <c r="F37" s="3">
        <v>34</v>
      </c>
      <c r="G37" s="1">
        <v>0</v>
      </c>
      <c r="H37" s="1">
        <f>IF('Gerar Hietograma'!$F$5=1,'Gerar Hietograma'!$G$4/100*B37,IF('Gerar Hietograma'!$F$5=2,'Gerar Hietograma'!$G$4/100*C37,IF('Gerar Hietograma'!$F$5=3,'Gerar Hietograma'!$G$4/100*D37,IF('Gerar Hietograma'!$F$5=4,'Gerar Hietograma'!$G$4/100*E37,0))))</f>
        <v>0</v>
      </c>
      <c r="I37" s="1">
        <f>'Gerar Hietograma'!$G$3/'Gerar Hietograma'!$G$2*F36</f>
        <v>330</v>
      </c>
      <c r="J37">
        <f t="shared" si="4"/>
        <v>180</v>
      </c>
      <c r="K37">
        <f t="shared" si="5"/>
        <v>120</v>
      </c>
      <c r="L37" t="e" cm="1">
        <f t="array" ref="L37">INDEX(x_conhecido, MATCH(I37, x_conhecido, 1) + 1)</f>
        <v>#REF!</v>
      </c>
      <c r="M37" t="e" cm="1">
        <f t="array" ref="M37">INDEX(y_conhecido, MATCH(I37,x_conhecido, 1) + 1)</f>
        <v>#REF!</v>
      </c>
      <c r="N37">
        <f t="shared" si="6"/>
        <v>120</v>
      </c>
      <c r="O37">
        <f t="shared" si="3"/>
        <v>0</v>
      </c>
    </row>
    <row r="38" spans="1:15" x14ac:dyDescent="0.25">
      <c r="F38" s="3">
        <v>35</v>
      </c>
      <c r="G38" s="1">
        <v>0</v>
      </c>
      <c r="H38" s="1">
        <f>IF('Gerar Hietograma'!$F$5=1,'Gerar Hietograma'!$G$4/100*B38,IF('Gerar Hietograma'!$F$5=2,'Gerar Hietograma'!$G$4/100*C38,IF('Gerar Hietograma'!$F$5=3,'Gerar Hietograma'!$G$4/100*D38,IF('Gerar Hietograma'!$F$5=4,'Gerar Hietograma'!$G$4/100*E38,0))))</f>
        <v>0</v>
      </c>
      <c r="I38" s="1">
        <f>'Gerar Hietograma'!$G$3/'Gerar Hietograma'!$G$2*F37</f>
        <v>340</v>
      </c>
      <c r="J38">
        <f t="shared" si="4"/>
        <v>180</v>
      </c>
      <c r="K38">
        <f t="shared" si="5"/>
        <v>120</v>
      </c>
      <c r="L38" t="e" cm="1">
        <f t="array" ref="L38">INDEX(x_conhecido, MATCH(I38, x_conhecido, 1) + 1)</f>
        <v>#REF!</v>
      </c>
      <c r="M38" t="e" cm="1">
        <f t="array" ref="M38">INDEX(y_conhecido, MATCH(I38,x_conhecido, 1) + 1)</f>
        <v>#REF!</v>
      </c>
      <c r="N38">
        <f t="shared" si="6"/>
        <v>120</v>
      </c>
      <c r="O38">
        <f t="shared" si="3"/>
        <v>0</v>
      </c>
    </row>
    <row r="39" spans="1:15" x14ac:dyDescent="0.25">
      <c r="F39" s="3">
        <v>36</v>
      </c>
      <c r="G39" s="1">
        <v>0</v>
      </c>
      <c r="H39" s="1">
        <f>IF('Gerar Hietograma'!$F$5=1,'Gerar Hietograma'!$G$4/100*B39,IF('Gerar Hietograma'!$F$5=2,'Gerar Hietograma'!$G$4/100*C39,IF('Gerar Hietograma'!$F$5=3,'Gerar Hietograma'!$G$4/100*D39,IF('Gerar Hietograma'!$F$5=4,'Gerar Hietograma'!$G$4/100*E39,0))))</f>
        <v>0</v>
      </c>
      <c r="I39" s="1">
        <f>'Gerar Hietograma'!$G$3/'Gerar Hietograma'!$G$2*F38</f>
        <v>350</v>
      </c>
      <c r="J39">
        <f t="shared" si="4"/>
        <v>180</v>
      </c>
      <c r="K39">
        <f t="shared" si="5"/>
        <v>120</v>
      </c>
      <c r="L39" t="e" cm="1">
        <f t="array" ref="L39">INDEX(x_conhecido, MATCH(I39, x_conhecido, 1) + 1)</f>
        <v>#REF!</v>
      </c>
      <c r="M39" t="e" cm="1">
        <f t="array" ref="M39">INDEX(y_conhecido, MATCH(I39,x_conhecido, 1) + 1)</f>
        <v>#REF!</v>
      </c>
      <c r="N39">
        <f t="shared" si="6"/>
        <v>120</v>
      </c>
      <c r="O39">
        <f t="shared" si="3"/>
        <v>0</v>
      </c>
    </row>
    <row r="40" spans="1:15" x14ac:dyDescent="0.25">
      <c r="F40" s="3">
        <v>37</v>
      </c>
      <c r="G40" s="1">
        <v>0</v>
      </c>
      <c r="H40" s="1">
        <f>IF('Gerar Hietograma'!$F$5=1,'Gerar Hietograma'!$G$4/100*B40,IF('Gerar Hietograma'!$F$5=2,'Gerar Hietograma'!$G$4/100*C40,IF('Gerar Hietograma'!$F$5=3,'Gerar Hietograma'!$G$4/100*D40,IF('Gerar Hietograma'!$F$5=4,'Gerar Hietograma'!$G$4/100*E40,0))))</f>
        <v>0</v>
      </c>
      <c r="I40" s="1">
        <f>'Gerar Hietograma'!$G$3/'Gerar Hietograma'!$G$2*F39</f>
        <v>360</v>
      </c>
      <c r="J40">
        <f t="shared" si="4"/>
        <v>180</v>
      </c>
      <c r="K40">
        <f t="shared" si="5"/>
        <v>120</v>
      </c>
      <c r="L40" t="e" cm="1">
        <f t="array" ref="L40">INDEX(x_conhecido, MATCH(I40, x_conhecido, 1) + 1)</f>
        <v>#REF!</v>
      </c>
      <c r="M40" t="e" cm="1">
        <f t="array" ref="M40">INDEX(y_conhecido, MATCH(I40,x_conhecido, 1) + 1)</f>
        <v>#REF!</v>
      </c>
      <c r="N40">
        <f t="shared" si="6"/>
        <v>120</v>
      </c>
      <c r="O40">
        <f t="shared" si="3"/>
        <v>0</v>
      </c>
    </row>
    <row r="41" spans="1:15" x14ac:dyDescent="0.25">
      <c r="F41" s="3">
        <v>38</v>
      </c>
      <c r="G41" s="1">
        <v>0</v>
      </c>
      <c r="H41" s="1">
        <f>IF('Gerar Hietograma'!$F$5=1,'Gerar Hietograma'!$G$4/100*B41,IF('Gerar Hietograma'!$F$5=2,'Gerar Hietograma'!$G$4/100*C41,IF('Gerar Hietograma'!$F$5=3,'Gerar Hietograma'!$G$4/100*D41,IF('Gerar Hietograma'!$F$5=4,'Gerar Hietograma'!$G$4/100*E41,0))))</f>
        <v>0</v>
      </c>
      <c r="I41" s="1">
        <f>'Gerar Hietograma'!$G$3/'Gerar Hietograma'!$G$2*F40</f>
        <v>370</v>
      </c>
      <c r="J41">
        <f t="shared" si="4"/>
        <v>180</v>
      </c>
      <c r="K41">
        <f t="shared" si="5"/>
        <v>120</v>
      </c>
      <c r="L41" t="e" cm="1">
        <f t="array" ref="L41">INDEX(x_conhecido, MATCH(I41, x_conhecido, 1) + 1)</f>
        <v>#REF!</v>
      </c>
      <c r="M41" t="e" cm="1">
        <f t="array" ref="M41">INDEX(y_conhecido, MATCH(I41,x_conhecido, 1) + 1)</f>
        <v>#REF!</v>
      </c>
      <c r="N41">
        <f t="shared" si="6"/>
        <v>120</v>
      </c>
      <c r="O41">
        <f t="shared" si="3"/>
        <v>0</v>
      </c>
    </row>
    <row r="42" spans="1:15" x14ac:dyDescent="0.25">
      <c r="F42" s="3">
        <v>39</v>
      </c>
      <c r="G42" s="1">
        <v>0</v>
      </c>
      <c r="H42" s="1">
        <f>IF('Gerar Hietograma'!$F$5=1,'Gerar Hietograma'!$G$4/100*B42,IF('Gerar Hietograma'!$F$5=2,'Gerar Hietograma'!$G$4/100*C42,IF('Gerar Hietograma'!$F$5=3,'Gerar Hietograma'!$G$4/100*D42,IF('Gerar Hietograma'!$F$5=4,'Gerar Hietograma'!$G$4/100*E42,0))))</f>
        <v>0</v>
      </c>
      <c r="I42" s="1">
        <f>'Gerar Hietograma'!$G$3/'Gerar Hietograma'!$G$2*F41</f>
        <v>380</v>
      </c>
      <c r="J42">
        <f t="shared" si="4"/>
        <v>180</v>
      </c>
      <c r="K42">
        <f t="shared" si="5"/>
        <v>120</v>
      </c>
      <c r="L42" t="e" cm="1">
        <f t="array" ref="L42">INDEX(x_conhecido, MATCH(I42, x_conhecido, 1) + 1)</f>
        <v>#REF!</v>
      </c>
      <c r="M42" t="e" cm="1">
        <f t="array" ref="M42">INDEX(y_conhecido, MATCH(I42,x_conhecido, 1) + 1)</f>
        <v>#REF!</v>
      </c>
      <c r="N42">
        <f t="shared" si="6"/>
        <v>120</v>
      </c>
      <c r="O42">
        <f t="shared" si="3"/>
        <v>0</v>
      </c>
    </row>
    <row r="43" spans="1:15" x14ac:dyDescent="0.25">
      <c r="F43" s="3">
        <v>40</v>
      </c>
      <c r="G43" s="1">
        <v>0</v>
      </c>
      <c r="H43" s="1">
        <f>IF('Gerar Hietograma'!$F$5=1,'Gerar Hietograma'!$G$4/100*B43,IF('Gerar Hietograma'!$F$5=2,'Gerar Hietograma'!$G$4/100*C43,IF('Gerar Hietograma'!$F$5=3,'Gerar Hietograma'!$G$4/100*D43,IF('Gerar Hietograma'!$F$5=4,'Gerar Hietograma'!$G$4/100*E43,0))))</f>
        <v>0</v>
      </c>
      <c r="I43" s="1">
        <f>'Gerar Hietograma'!$G$3/'Gerar Hietograma'!$G$2*F42</f>
        <v>390</v>
      </c>
      <c r="J43">
        <f t="shared" si="4"/>
        <v>180</v>
      </c>
      <c r="K43">
        <f t="shared" si="5"/>
        <v>120</v>
      </c>
      <c r="L43" t="e" cm="1">
        <f t="array" ref="L43">INDEX(x_conhecido, MATCH(I43, x_conhecido, 1) + 1)</f>
        <v>#REF!</v>
      </c>
      <c r="M43" t="e" cm="1">
        <f t="array" ref="M43">INDEX(y_conhecido, MATCH(I43,x_conhecido, 1) + 1)</f>
        <v>#REF!</v>
      </c>
      <c r="N43">
        <f t="shared" si="6"/>
        <v>120</v>
      </c>
      <c r="O43">
        <f t="shared" si="3"/>
        <v>0</v>
      </c>
    </row>
    <row r="44" spans="1:15" x14ac:dyDescent="0.25">
      <c r="F44" s="3">
        <v>41</v>
      </c>
      <c r="G44" s="1">
        <v>0</v>
      </c>
      <c r="H44" s="1">
        <f>IF('Gerar Hietograma'!$F$5=1,'Gerar Hietograma'!$G$4/100*B44,IF('Gerar Hietograma'!$F$5=2,'Gerar Hietograma'!$G$4/100*C44,IF('Gerar Hietograma'!$F$5=3,'Gerar Hietograma'!$G$4/100*D44,IF('Gerar Hietograma'!$F$5=4,'Gerar Hietograma'!$G$4/100*E44,0))))</f>
        <v>0</v>
      </c>
      <c r="I44" s="1">
        <f>'Gerar Hietograma'!$G$3/'Gerar Hietograma'!$G$2*F43</f>
        <v>400</v>
      </c>
      <c r="J44">
        <f t="shared" si="4"/>
        <v>180</v>
      </c>
      <c r="K44">
        <f t="shared" si="5"/>
        <v>120</v>
      </c>
      <c r="L44" t="e" cm="1">
        <f t="array" ref="L44">INDEX(x_conhecido, MATCH(I44, x_conhecido, 1) + 1)</f>
        <v>#REF!</v>
      </c>
      <c r="M44" t="e" cm="1">
        <f t="array" ref="M44">INDEX(y_conhecido, MATCH(I44,x_conhecido, 1) + 1)</f>
        <v>#REF!</v>
      </c>
      <c r="N44">
        <f t="shared" si="6"/>
        <v>120</v>
      </c>
      <c r="O44">
        <f t="shared" si="3"/>
        <v>0</v>
      </c>
    </row>
    <row r="45" spans="1:15" x14ac:dyDescent="0.25">
      <c r="F45" s="3">
        <v>42</v>
      </c>
      <c r="G45" s="1">
        <v>0</v>
      </c>
      <c r="H45" s="1">
        <f>IF('Gerar Hietograma'!$F$5=1,'Gerar Hietograma'!$G$4/100*B45,IF('Gerar Hietograma'!$F$5=2,'Gerar Hietograma'!$G$4/100*C45,IF('Gerar Hietograma'!$F$5=3,'Gerar Hietograma'!$G$4/100*D45,IF('Gerar Hietograma'!$F$5=4,'Gerar Hietograma'!$G$4/100*E45,0))))</f>
        <v>0</v>
      </c>
      <c r="I45" s="1">
        <f>'Gerar Hietograma'!$G$3/'Gerar Hietograma'!$G$2*F44</f>
        <v>410</v>
      </c>
      <c r="J45">
        <f t="shared" si="4"/>
        <v>180</v>
      </c>
      <c r="K45">
        <f t="shared" si="5"/>
        <v>120</v>
      </c>
      <c r="L45" t="e" cm="1">
        <f t="array" ref="L45">INDEX(x_conhecido, MATCH(I45, x_conhecido, 1) + 1)</f>
        <v>#REF!</v>
      </c>
      <c r="M45" t="e" cm="1">
        <f t="array" ref="M45">INDEX(y_conhecido, MATCH(I45,x_conhecido, 1) + 1)</f>
        <v>#REF!</v>
      </c>
      <c r="N45">
        <f t="shared" si="6"/>
        <v>120</v>
      </c>
      <c r="O45">
        <f t="shared" si="3"/>
        <v>0</v>
      </c>
    </row>
    <row r="46" spans="1:15" x14ac:dyDescent="0.25">
      <c r="F46" s="3">
        <v>43</v>
      </c>
      <c r="G46" s="32">
        <v>0</v>
      </c>
      <c r="H46" s="32">
        <f>IF('Gerar Hietograma'!$F$5=1,'Gerar Hietograma'!$G$4/100*B46,IF('Gerar Hietograma'!$F$5=2,'Gerar Hietograma'!$G$4/100*C46,IF('Gerar Hietograma'!$F$5=3,'Gerar Hietograma'!$G$4/100*D46,IF('Gerar Hietograma'!$F$5=4,'Gerar Hietograma'!$G$4/100*E46,0))))</f>
        <v>0</v>
      </c>
      <c r="I46" s="1">
        <f>'Gerar Hietograma'!$G$3/'Gerar Hietograma'!$G$2*F45</f>
        <v>420</v>
      </c>
      <c r="J46">
        <f t="shared" si="4"/>
        <v>180</v>
      </c>
      <c r="K46">
        <f t="shared" si="5"/>
        <v>120</v>
      </c>
      <c r="L46" t="e" cm="1">
        <f t="array" ref="L46">INDEX(x_conhecido, MATCH(I46, x_conhecido, 1) + 1)</f>
        <v>#REF!</v>
      </c>
      <c r="M46" t="e" cm="1">
        <f t="array" ref="M46">INDEX(y_conhecido, MATCH(I46,x_conhecido, 1) + 1)</f>
        <v>#REF!</v>
      </c>
      <c r="N46">
        <f t="shared" si="6"/>
        <v>120</v>
      </c>
      <c r="O46">
        <f t="shared" si="3"/>
        <v>0</v>
      </c>
    </row>
    <row r="47" spans="1:15" x14ac:dyDescent="0.25">
      <c r="F47" s="3">
        <v>44</v>
      </c>
      <c r="G47" s="32">
        <v>0</v>
      </c>
      <c r="H47" s="32">
        <f>IF('Gerar Hietograma'!$F$5=1,'Gerar Hietograma'!$G$4/100*B47,IF('Gerar Hietograma'!$F$5=2,'Gerar Hietograma'!$G$4/100*C47,IF('Gerar Hietograma'!$F$5=3,'Gerar Hietograma'!$G$4/100*D47,IF('Gerar Hietograma'!$F$5=4,'Gerar Hietograma'!$G$4/100*E47,0))))</f>
        <v>0</v>
      </c>
      <c r="I47" s="32">
        <f>'Gerar Hietograma'!$G$3/'Gerar Hietograma'!$G$2*F46</f>
        <v>430</v>
      </c>
      <c r="J47">
        <f t="shared" si="4"/>
        <v>180</v>
      </c>
      <c r="K47">
        <f t="shared" si="5"/>
        <v>120</v>
      </c>
      <c r="L47" t="e" cm="1">
        <f t="array" ref="L47">INDEX(x_conhecido, MATCH(I47, x_conhecido, 1) + 1)</f>
        <v>#REF!</v>
      </c>
      <c r="M47" t="e" cm="1">
        <f t="array" ref="M47">INDEX(y_conhecido, MATCH(I47,x_conhecido, 1) + 1)</f>
        <v>#REF!</v>
      </c>
      <c r="N47">
        <f t="shared" si="6"/>
        <v>120</v>
      </c>
      <c r="O47">
        <f t="shared" ref="O47:O104" si="7">N47-N46</f>
        <v>0</v>
      </c>
    </row>
    <row r="48" spans="1:15" x14ac:dyDescent="0.25">
      <c r="F48" s="3">
        <v>45</v>
      </c>
      <c r="G48" s="32">
        <v>0</v>
      </c>
      <c r="H48" s="32">
        <f>IF('Gerar Hietograma'!$F$5=1,'Gerar Hietograma'!$G$4/100*B48,IF('Gerar Hietograma'!$F$5=2,'Gerar Hietograma'!$G$4/100*C48,IF('Gerar Hietograma'!$F$5=3,'Gerar Hietograma'!$G$4/100*D48,IF('Gerar Hietograma'!$F$5=4,'Gerar Hietograma'!$G$4/100*E48,0))))</f>
        <v>0</v>
      </c>
      <c r="I48" s="32">
        <f>'Gerar Hietograma'!$G$3/'Gerar Hietograma'!$G$2*F47</f>
        <v>440</v>
      </c>
      <c r="J48">
        <f t="shared" si="4"/>
        <v>180</v>
      </c>
      <c r="K48">
        <f t="shared" si="5"/>
        <v>120</v>
      </c>
      <c r="L48" t="e" cm="1">
        <f t="array" ref="L48">INDEX(x_conhecido, MATCH(I48, x_conhecido, 1) + 1)</f>
        <v>#REF!</v>
      </c>
      <c r="M48" t="e" cm="1">
        <f t="array" ref="M48">INDEX(y_conhecido, MATCH(I48,x_conhecido, 1) + 1)</f>
        <v>#REF!</v>
      </c>
      <c r="N48">
        <f t="shared" si="6"/>
        <v>120</v>
      </c>
      <c r="O48">
        <f t="shared" si="7"/>
        <v>0</v>
      </c>
    </row>
    <row r="49" spans="6:15" x14ac:dyDescent="0.25">
      <c r="F49" s="3">
        <v>46</v>
      </c>
      <c r="G49" s="32">
        <v>0</v>
      </c>
      <c r="H49" s="32">
        <f>IF('Gerar Hietograma'!$F$5=1,'Gerar Hietograma'!$G$4/100*B49,IF('Gerar Hietograma'!$F$5=2,'Gerar Hietograma'!$G$4/100*C49,IF('Gerar Hietograma'!$F$5=3,'Gerar Hietograma'!$G$4/100*D49,IF('Gerar Hietograma'!$F$5=4,'Gerar Hietograma'!$G$4/100*E49,0))))</f>
        <v>0</v>
      </c>
      <c r="I49" s="32">
        <f>'Gerar Hietograma'!$G$3/'Gerar Hietograma'!$G$2*F48</f>
        <v>450</v>
      </c>
      <c r="J49">
        <f t="shared" si="4"/>
        <v>180</v>
      </c>
      <c r="K49">
        <f t="shared" si="5"/>
        <v>120</v>
      </c>
      <c r="L49" t="e" cm="1">
        <f t="array" ref="L49">INDEX(x_conhecido, MATCH(I49, x_conhecido, 1) + 1)</f>
        <v>#REF!</v>
      </c>
      <c r="M49" t="e" cm="1">
        <f t="array" ref="M49">INDEX(y_conhecido, MATCH(I49,x_conhecido, 1) + 1)</f>
        <v>#REF!</v>
      </c>
      <c r="N49">
        <f t="shared" si="6"/>
        <v>120</v>
      </c>
      <c r="O49">
        <f t="shared" si="7"/>
        <v>0</v>
      </c>
    </row>
    <row r="50" spans="6:15" x14ac:dyDescent="0.25">
      <c r="F50" s="3">
        <v>47</v>
      </c>
      <c r="G50" s="32">
        <v>0</v>
      </c>
      <c r="H50" s="32">
        <f>IF('Gerar Hietograma'!$F$5=1,'Gerar Hietograma'!$G$4/100*B50,IF('Gerar Hietograma'!$F$5=2,'Gerar Hietograma'!$G$4/100*C50,IF('Gerar Hietograma'!$F$5=3,'Gerar Hietograma'!$G$4/100*D50,IF('Gerar Hietograma'!$F$5=4,'Gerar Hietograma'!$G$4/100*E50,0))))</f>
        <v>0</v>
      </c>
      <c r="I50" s="32">
        <f>'Gerar Hietograma'!$G$3/'Gerar Hietograma'!$G$2*F49</f>
        <v>460</v>
      </c>
      <c r="J50">
        <f t="shared" si="4"/>
        <v>180</v>
      </c>
      <c r="K50">
        <f t="shared" si="5"/>
        <v>120</v>
      </c>
      <c r="L50" t="e" cm="1">
        <f t="array" ref="L50">INDEX(x_conhecido, MATCH(I50, x_conhecido, 1) + 1)</f>
        <v>#REF!</v>
      </c>
      <c r="M50" t="e" cm="1">
        <f t="array" ref="M50">INDEX(y_conhecido, MATCH(I50,x_conhecido, 1) + 1)</f>
        <v>#REF!</v>
      </c>
      <c r="N50">
        <f t="shared" si="6"/>
        <v>120</v>
      </c>
      <c r="O50">
        <f t="shared" si="7"/>
        <v>0</v>
      </c>
    </row>
    <row r="51" spans="6:15" x14ac:dyDescent="0.25">
      <c r="F51" s="3">
        <v>48</v>
      </c>
      <c r="G51" s="32">
        <v>0</v>
      </c>
      <c r="H51" s="32">
        <f>IF('Gerar Hietograma'!$F$5=1,'Gerar Hietograma'!$G$4/100*B51,IF('Gerar Hietograma'!$F$5=2,'Gerar Hietograma'!$G$4/100*C51,IF('Gerar Hietograma'!$F$5=3,'Gerar Hietograma'!$G$4/100*D51,IF('Gerar Hietograma'!$F$5=4,'Gerar Hietograma'!$G$4/100*E51,0))))</f>
        <v>0</v>
      </c>
      <c r="I51" s="32">
        <f>'Gerar Hietograma'!$G$3/'Gerar Hietograma'!$G$2*F50</f>
        <v>470</v>
      </c>
      <c r="J51">
        <f t="shared" si="4"/>
        <v>180</v>
      </c>
      <c r="K51">
        <f t="shared" si="5"/>
        <v>120</v>
      </c>
      <c r="L51" t="e" cm="1">
        <f t="array" ref="L51">INDEX(x_conhecido, MATCH(I51, x_conhecido, 1) + 1)</f>
        <v>#REF!</v>
      </c>
      <c r="M51" t="e" cm="1">
        <f t="array" ref="M51">INDEX(y_conhecido, MATCH(I51,x_conhecido, 1) + 1)</f>
        <v>#REF!</v>
      </c>
      <c r="N51">
        <f t="shared" si="6"/>
        <v>120</v>
      </c>
      <c r="O51">
        <f t="shared" si="7"/>
        <v>0</v>
      </c>
    </row>
    <row r="52" spans="6:15" x14ac:dyDescent="0.25">
      <c r="F52" s="3">
        <v>49</v>
      </c>
      <c r="G52" s="32">
        <v>0</v>
      </c>
      <c r="H52" s="32">
        <f>IF('Gerar Hietograma'!$F$5=1,'Gerar Hietograma'!$G$4/100*B52,IF('Gerar Hietograma'!$F$5=2,'Gerar Hietograma'!$G$4/100*C52,IF('Gerar Hietograma'!$F$5=3,'Gerar Hietograma'!$G$4/100*D52,IF('Gerar Hietograma'!$F$5=4,'Gerar Hietograma'!$G$4/100*E52,0))))</f>
        <v>0</v>
      </c>
      <c r="I52" s="32">
        <f>'Gerar Hietograma'!$G$3/'Gerar Hietograma'!$G$2*F51</f>
        <v>480</v>
      </c>
      <c r="J52">
        <f t="shared" si="4"/>
        <v>180</v>
      </c>
      <c r="K52">
        <f t="shared" si="5"/>
        <v>120</v>
      </c>
      <c r="L52" t="e" cm="1">
        <f t="array" ref="L52">INDEX(x_conhecido, MATCH(I52, x_conhecido, 1) + 1)</f>
        <v>#REF!</v>
      </c>
      <c r="M52" t="e" cm="1">
        <f t="array" ref="M52">INDEX(y_conhecido, MATCH(I52,x_conhecido, 1) + 1)</f>
        <v>#REF!</v>
      </c>
      <c r="N52">
        <f t="shared" si="6"/>
        <v>120</v>
      </c>
      <c r="O52">
        <f t="shared" si="7"/>
        <v>0</v>
      </c>
    </row>
    <row r="53" spans="6:15" x14ac:dyDescent="0.25">
      <c r="F53" s="3">
        <v>50</v>
      </c>
      <c r="G53" s="32">
        <v>0</v>
      </c>
      <c r="H53" s="32">
        <f>IF('Gerar Hietograma'!$F$5=1,'Gerar Hietograma'!$G$4/100*B53,IF('Gerar Hietograma'!$F$5=2,'Gerar Hietograma'!$G$4/100*C53,IF('Gerar Hietograma'!$F$5=3,'Gerar Hietograma'!$G$4/100*D53,IF('Gerar Hietograma'!$F$5=4,'Gerar Hietograma'!$G$4/100*E53,0))))</f>
        <v>0</v>
      </c>
      <c r="I53" s="32">
        <f>'Gerar Hietograma'!$G$3/'Gerar Hietograma'!$G$2*F52</f>
        <v>490</v>
      </c>
      <c r="J53">
        <f t="shared" si="4"/>
        <v>180</v>
      </c>
      <c r="K53">
        <f t="shared" si="5"/>
        <v>120</v>
      </c>
      <c r="L53" t="e" cm="1">
        <f t="array" ref="L53">INDEX(x_conhecido, MATCH(I53, x_conhecido, 1) + 1)</f>
        <v>#REF!</v>
      </c>
      <c r="M53" t="e" cm="1">
        <f t="array" ref="M53">INDEX(y_conhecido, MATCH(I53,x_conhecido, 1) + 1)</f>
        <v>#REF!</v>
      </c>
      <c r="N53">
        <f t="shared" si="6"/>
        <v>120</v>
      </c>
      <c r="O53">
        <f t="shared" si="7"/>
        <v>0</v>
      </c>
    </row>
    <row r="54" spans="6:15" x14ac:dyDescent="0.25">
      <c r="F54" s="3">
        <v>51</v>
      </c>
      <c r="G54" s="32">
        <v>0</v>
      </c>
      <c r="H54" s="32">
        <f>IF('Gerar Hietograma'!$F$5=1,'Gerar Hietograma'!$G$4/100*B54,IF('Gerar Hietograma'!$F$5=2,'Gerar Hietograma'!$G$4/100*C54,IF('Gerar Hietograma'!$F$5=3,'Gerar Hietograma'!$G$4/100*D54,IF('Gerar Hietograma'!$F$5=4,'Gerar Hietograma'!$G$4/100*E54,0))))</f>
        <v>0</v>
      </c>
      <c r="I54" s="32">
        <f>'Gerar Hietograma'!$G$3/'Gerar Hietograma'!$G$2*F53</f>
        <v>500</v>
      </c>
      <c r="J54">
        <f t="shared" si="4"/>
        <v>180</v>
      </c>
      <c r="K54">
        <f t="shared" si="5"/>
        <v>120</v>
      </c>
      <c r="L54" t="e" cm="1">
        <f t="array" ref="L54">INDEX(x_conhecido, MATCH(I54, x_conhecido, 1) + 1)</f>
        <v>#REF!</v>
      </c>
      <c r="M54" t="e" cm="1">
        <f t="array" ref="M54">INDEX(y_conhecido, MATCH(I54,x_conhecido, 1) + 1)</f>
        <v>#REF!</v>
      </c>
      <c r="N54">
        <f t="shared" si="6"/>
        <v>120</v>
      </c>
      <c r="O54">
        <f t="shared" si="7"/>
        <v>0</v>
      </c>
    </row>
    <row r="55" spans="6:15" x14ac:dyDescent="0.25">
      <c r="F55" s="3">
        <v>52</v>
      </c>
      <c r="G55" s="32">
        <v>0</v>
      </c>
      <c r="H55" s="32">
        <f>IF('Gerar Hietograma'!$F$5=1,'Gerar Hietograma'!$G$4/100*B55,IF('Gerar Hietograma'!$F$5=2,'Gerar Hietograma'!$G$4/100*C55,IF('Gerar Hietograma'!$F$5=3,'Gerar Hietograma'!$G$4/100*D55,IF('Gerar Hietograma'!$F$5=4,'Gerar Hietograma'!$G$4/100*E55,0))))</f>
        <v>0</v>
      </c>
      <c r="I55" s="32">
        <f>'Gerar Hietograma'!$G$3/'Gerar Hietograma'!$G$2*F54</f>
        <v>510</v>
      </c>
      <c r="J55">
        <f t="shared" si="4"/>
        <v>180</v>
      </c>
      <c r="K55">
        <f t="shared" si="5"/>
        <v>120</v>
      </c>
      <c r="L55" t="e" cm="1">
        <f t="array" ref="L55">INDEX(x_conhecido, MATCH(I55, x_conhecido, 1) + 1)</f>
        <v>#REF!</v>
      </c>
      <c r="M55" t="e" cm="1">
        <f t="array" ref="M55">INDEX(y_conhecido, MATCH(I55,x_conhecido, 1) + 1)</f>
        <v>#REF!</v>
      </c>
      <c r="N55">
        <f t="shared" si="6"/>
        <v>120</v>
      </c>
      <c r="O55">
        <f t="shared" si="7"/>
        <v>0</v>
      </c>
    </row>
    <row r="56" spans="6:15" x14ac:dyDescent="0.25">
      <c r="F56" s="3">
        <v>53</v>
      </c>
      <c r="G56" s="32">
        <v>0</v>
      </c>
      <c r="H56" s="32">
        <f>IF('Gerar Hietograma'!$F$5=1,'Gerar Hietograma'!$G$4/100*B56,IF('Gerar Hietograma'!$F$5=2,'Gerar Hietograma'!$G$4/100*C56,IF('Gerar Hietograma'!$F$5=3,'Gerar Hietograma'!$G$4/100*D56,IF('Gerar Hietograma'!$F$5=4,'Gerar Hietograma'!$G$4/100*E56,0))))</f>
        <v>0</v>
      </c>
      <c r="I56" s="32">
        <f>'Gerar Hietograma'!$G$3/'Gerar Hietograma'!$G$2*F55</f>
        <v>520</v>
      </c>
      <c r="J56">
        <f t="shared" si="4"/>
        <v>180</v>
      </c>
      <c r="K56">
        <f t="shared" si="5"/>
        <v>120</v>
      </c>
      <c r="L56" t="e" cm="1">
        <f t="array" ref="L56">INDEX(x_conhecido, MATCH(I56, x_conhecido, 1) + 1)</f>
        <v>#REF!</v>
      </c>
      <c r="M56" t="e" cm="1">
        <f t="array" ref="M56">INDEX(y_conhecido, MATCH(I56,x_conhecido, 1) + 1)</f>
        <v>#REF!</v>
      </c>
      <c r="N56">
        <f t="shared" si="6"/>
        <v>120</v>
      </c>
      <c r="O56">
        <f t="shared" si="7"/>
        <v>0</v>
      </c>
    </row>
    <row r="57" spans="6:15" x14ac:dyDescent="0.25">
      <c r="F57" s="3">
        <v>54</v>
      </c>
      <c r="G57" s="32">
        <v>0</v>
      </c>
      <c r="H57" s="32">
        <f>IF('Gerar Hietograma'!$F$5=1,'Gerar Hietograma'!$G$4/100*B57,IF('Gerar Hietograma'!$F$5=2,'Gerar Hietograma'!$G$4/100*C57,IF('Gerar Hietograma'!$F$5=3,'Gerar Hietograma'!$G$4/100*D57,IF('Gerar Hietograma'!$F$5=4,'Gerar Hietograma'!$G$4/100*E57,0))))</f>
        <v>0</v>
      </c>
      <c r="I57" s="32">
        <f>'Gerar Hietograma'!$G$3/'Gerar Hietograma'!$G$2*F56</f>
        <v>530</v>
      </c>
      <c r="J57">
        <f t="shared" si="4"/>
        <v>180</v>
      </c>
      <c r="K57">
        <f t="shared" si="5"/>
        <v>120</v>
      </c>
      <c r="L57" t="e" cm="1">
        <f t="array" ref="L57">INDEX(x_conhecido, MATCH(I57, x_conhecido, 1) + 1)</f>
        <v>#REF!</v>
      </c>
      <c r="M57" t="e" cm="1">
        <f t="array" ref="M57">INDEX(y_conhecido, MATCH(I57,x_conhecido, 1) + 1)</f>
        <v>#REF!</v>
      </c>
      <c r="N57">
        <f t="shared" si="6"/>
        <v>120</v>
      </c>
      <c r="O57">
        <f t="shared" si="7"/>
        <v>0</v>
      </c>
    </row>
    <row r="58" spans="6:15" x14ac:dyDescent="0.25">
      <c r="F58" s="3">
        <v>55</v>
      </c>
      <c r="G58" s="32">
        <v>0</v>
      </c>
      <c r="H58" s="32">
        <f>IF('Gerar Hietograma'!$F$5=1,'Gerar Hietograma'!$G$4/100*B58,IF('Gerar Hietograma'!$F$5=2,'Gerar Hietograma'!$G$4/100*C58,IF('Gerar Hietograma'!$F$5=3,'Gerar Hietograma'!$G$4/100*D58,IF('Gerar Hietograma'!$F$5=4,'Gerar Hietograma'!$G$4/100*E58,0))))</f>
        <v>0</v>
      </c>
      <c r="I58" s="32">
        <f>'Gerar Hietograma'!$G$3/'Gerar Hietograma'!$G$2*F57</f>
        <v>540</v>
      </c>
      <c r="J58">
        <f t="shared" si="4"/>
        <v>180</v>
      </c>
      <c r="K58">
        <f t="shared" si="5"/>
        <v>120</v>
      </c>
      <c r="L58" t="e" cm="1">
        <f t="array" ref="L58">INDEX(x_conhecido, MATCH(I58, x_conhecido, 1) + 1)</f>
        <v>#REF!</v>
      </c>
      <c r="M58" t="e" cm="1">
        <f t="array" ref="M58">INDEX(y_conhecido, MATCH(I58,x_conhecido, 1) + 1)</f>
        <v>#REF!</v>
      </c>
      <c r="N58">
        <f t="shared" si="6"/>
        <v>120</v>
      </c>
      <c r="O58">
        <f t="shared" si="7"/>
        <v>0</v>
      </c>
    </row>
    <row r="59" spans="6:15" x14ac:dyDescent="0.25">
      <c r="F59" s="3">
        <v>56</v>
      </c>
      <c r="G59" s="32">
        <v>0</v>
      </c>
      <c r="H59" s="32">
        <f>IF('Gerar Hietograma'!$F$5=1,'Gerar Hietograma'!$G$4/100*B59,IF('Gerar Hietograma'!$F$5=2,'Gerar Hietograma'!$G$4/100*C59,IF('Gerar Hietograma'!$F$5=3,'Gerar Hietograma'!$G$4/100*D59,IF('Gerar Hietograma'!$F$5=4,'Gerar Hietograma'!$G$4/100*E59,0))))</f>
        <v>0</v>
      </c>
      <c r="I59" s="32">
        <f>'Gerar Hietograma'!$G$3/'Gerar Hietograma'!$G$2*F58</f>
        <v>550</v>
      </c>
      <c r="J59">
        <f t="shared" si="4"/>
        <v>180</v>
      </c>
      <c r="K59">
        <f t="shared" si="5"/>
        <v>120</v>
      </c>
      <c r="L59" t="e" cm="1">
        <f t="array" ref="L59">INDEX(x_conhecido, MATCH(I59, x_conhecido, 1) + 1)</f>
        <v>#REF!</v>
      </c>
      <c r="M59" t="e" cm="1">
        <f t="array" ref="M59">INDEX(y_conhecido, MATCH(I59,x_conhecido, 1) + 1)</f>
        <v>#REF!</v>
      </c>
      <c r="N59">
        <f t="shared" si="6"/>
        <v>120</v>
      </c>
      <c r="O59">
        <f t="shared" si="7"/>
        <v>0</v>
      </c>
    </row>
    <row r="60" spans="6:15" x14ac:dyDescent="0.25">
      <c r="F60" s="3">
        <v>57</v>
      </c>
      <c r="G60" s="32">
        <v>0</v>
      </c>
      <c r="H60" s="32">
        <f>IF('Gerar Hietograma'!$F$5=1,'Gerar Hietograma'!$G$4/100*B60,IF('Gerar Hietograma'!$F$5=2,'Gerar Hietograma'!$G$4/100*C60,IF('Gerar Hietograma'!$F$5=3,'Gerar Hietograma'!$G$4/100*D60,IF('Gerar Hietograma'!$F$5=4,'Gerar Hietograma'!$G$4/100*E60,0))))</f>
        <v>0</v>
      </c>
      <c r="I60" s="32">
        <f>'Gerar Hietograma'!$G$3/'Gerar Hietograma'!$G$2*F59</f>
        <v>560</v>
      </c>
      <c r="J60">
        <f t="shared" si="4"/>
        <v>180</v>
      </c>
      <c r="K60">
        <f t="shared" si="5"/>
        <v>120</v>
      </c>
      <c r="L60" t="e" cm="1">
        <f t="array" ref="L60">INDEX(x_conhecido, MATCH(I60, x_conhecido, 1) + 1)</f>
        <v>#REF!</v>
      </c>
      <c r="M60" t="e" cm="1">
        <f t="array" ref="M60">INDEX(y_conhecido, MATCH(I60,x_conhecido, 1) + 1)</f>
        <v>#REF!</v>
      </c>
      <c r="N60">
        <f t="shared" si="6"/>
        <v>120</v>
      </c>
      <c r="O60">
        <f t="shared" si="7"/>
        <v>0</v>
      </c>
    </row>
    <row r="61" spans="6:15" x14ac:dyDescent="0.25">
      <c r="F61" s="3">
        <v>58</v>
      </c>
      <c r="G61" s="32">
        <v>0</v>
      </c>
      <c r="H61" s="32">
        <f>IF('Gerar Hietograma'!$F$5=1,'Gerar Hietograma'!$G$4/100*B61,IF('Gerar Hietograma'!$F$5=2,'Gerar Hietograma'!$G$4/100*C61,IF('Gerar Hietograma'!$F$5=3,'Gerar Hietograma'!$G$4/100*D61,IF('Gerar Hietograma'!$F$5=4,'Gerar Hietograma'!$G$4/100*E61,0))))</f>
        <v>0</v>
      </c>
      <c r="I61" s="32">
        <f>'Gerar Hietograma'!$G$3/'Gerar Hietograma'!$G$2*F60</f>
        <v>570</v>
      </c>
      <c r="J61">
        <f t="shared" si="4"/>
        <v>180</v>
      </c>
      <c r="K61">
        <f t="shared" si="5"/>
        <v>120</v>
      </c>
      <c r="L61" t="e" cm="1">
        <f t="array" ref="L61">INDEX(x_conhecido, MATCH(I61, x_conhecido, 1) + 1)</f>
        <v>#REF!</v>
      </c>
      <c r="M61" t="e" cm="1">
        <f t="array" ref="M61">INDEX(y_conhecido, MATCH(I61,x_conhecido, 1) + 1)</f>
        <v>#REF!</v>
      </c>
      <c r="N61">
        <f t="shared" si="6"/>
        <v>120</v>
      </c>
      <c r="O61">
        <f t="shared" si="7"/>
        <v>0</v>
      </c>
    </row>
    <row r="62" spans="6:15" x14ac:dyDescent="0.25">
      <c r="F62" s="3">
        <v>59</v>
      </c>
      <c r="G62" s="32">
        <v>0</v>
      </c>
      <c r="H62" s="32">
        <f>IF('Gerar Hietograma'!$F$5=1,'Gerar Hietograma'!$G$4/100*B62,IF('Gerar Hietograma'!$F$5=2,'Gerar Hietograma'!$G$4/100*C62,IF('Gerar Hietograma'!$F$5=3,'Gerar Hietograma'!$G$4/100*D62,IF('Gerar Hietograma'!$F$5=4,'Gerar Hietograma'!$G$4/100*E62,0))))</f>
        <v>0</v>
      </c>
      <c r="I62" s="32">
        <f>'Gerar Hietograma'!$G$3/'Gerar Hietograma'!$G$2*F61</f>
        <v>580</v>
      </c>
      <c r="J62">
        <f t="shared" si="4"/>
        <v>180</v>
      </c>
      <c r="K62">
        <f t="shared" si="5"/>
        <v>120</v>
      </c>
      <c r="L62" t="e" cm="1">
        <f t="array" ref="L62">INDEX(x_conhecido, MATCH(I62, x_conhecido, 1) + 1)</f>
        <v>#REF!</v>
      </c>
      <c r="M62" t="e" cm="1">
        <f t="array" ref="M62">INDEX(y_conhecido, MATCH(I62,x_conhecido, 1) + 1)</f>
        <v>#REF!</v>
      </c>
      <c r="N62">
        <f t="shared" si="6"/>
        <v>120</v>
      </c>
      <c r="O62">
        <f t="shared" si="7"/>
        <v>0</v>
      </c>
    </row>
    <row r="63" spans="6:15" x14ac:dyDescent="0.25">
      <c r="F63" s="3">
        <v>60</v>
      </c>
      <c r="G63" s="32">
        <v>0</v>
      </c>
      <c r="H63" s="32">
        <f>IF('Gerar Hietograma'!$F$5=1,'Gerar Hietograma'!$G$4/100*B63,IF('Gerar Hietograma'!$F$5=2,'Gerar Hietograma'!$G$4/100*C63,IF('Gerar Hietograma'!$F$5=3,'Gerar Hietograma'!$G$4/100*D63,IF('Gerar Hietograma'!$F$5=4,'Gerar Hietograma'!$G$4/100*E63,0))))</f>
        <v>0</v>
      </c>
      <c r="I63" s="32">
        <f>'Gerar Hietograma'!$G$3/'Gerar Hietograma'!$G$2*F62</f>
        <v>590</v>
      </c>
      <c r="J63">
        <f t="shared" si="4"/>
        <v>180</v>
      </c>
      <c r="K63">
        <f t="shared" si="5"/>
        <v>120</v>
      </c>
      <c r="L63" t="e" cm="1">
        <f t="array" ref="L63">INDEX(x_conhecido, MATCH(I63, x_conhecido, 1) + 1)</f>
        <v>#REF!</v>
      </c>
      <c r="M63" t="e" cm="1">
        <f t="array" ref="M63">INDEX(y_conhecido, MATCH(I63,x_conhecido, 1) + 1)</f>
        <v>#REF!</v>
      </c>
      <c r="N63">
        <f t="shared" si="6"/>
        <v>120</v>
      </c>
      <c r="O63">
        <f t="shared" si="7"/>
        <v>0</v>
      </c>
    </row>
    <row r="64" spans="6:15" x14ac:dyDescent="0.25">
      <c r="F64" s="3">
        <v>61</v>
      </c>
      <c r="G64" s="32">
        <v>0</v>
      </c>
      <c r="H64" s="32">
        <f>IF('Gerar Hietograma'!$F$5=1,'Gerar Hietograma'!$G$4/100*B64,IF('Gerar Hietograma'!$F$5=2,'Gerar Hietograma'!$G$4/100*C64,IF('Gerar Hietograma'!$F$5=3,'Gerar Hietograma'!$G$4/100*D64,IF('Gerar Hietograma'!$F$5=4,'Gerar Hietograma'!$G$4/100*E64,0))))</f>
        <v>0</v>
      </c>
      <c r="I64" s="32">
        <f>'Gerar Hietograma'!$G$3/'Gerar Hietograma'!$G$2*F63</f>
        <v>600</v>
      </c>
      <c r="J64">
        <f t="shared" si="4"/>
        <v>180</v>
      </c>
      <c r="K64">
        <f t="shared" si="5"/>
        <v>120</v>
      </c>
      <c r="L64" t="e" cm="1">
        <f t="array" ref="L64">INDEX(x_conhecido, MATCH(I64, x_conhecido, 1) + 1)</f>
        <v>#REF!</v>
      </c>
      <c r="M64" t="e" cm="1">
        <f t="array" ref="M64">INDEX(y_conhecido, MATCH(I64,x_conhecido, 1) + 1)</f>
        <v>#REF!</v>
      </c>
      <c r="N64">
        <f t="shared" si="6"/>
        <v>120</v>
      </c>
      <c r="O64">
        <f t="shared" si="7"/>
        <v>0</v>
      </c>
    </row>
    <row r="65" spans="6:15" x14ac:dyDescent="0.25">
      <c r="F65" s="3">
        <v>62</v>
      </c>
      <c r="G65" s="32">
        <v>0</v>
      </c>
      <c r="H65" s="32">
        <f>IF('Gerar Hietograma'!$F$5=1,'Gerar Hietograma'!$G$4/100*B65,IF('Gerar Hietograma'!$F$5=2,'Gerar Hietograma'!$G$4/100*C65,IF('Gerar Hietograma'!$F$5=3,'Gerar Hietograma'!$G$4/100*D65,IF('Gerar Hietograma'!$F$5=4,'Gerar Hietograma'!$G$4/100*E65,0))))</f>
        <v>0</v>
      </c>
      <c r="I65" s="32">
        <f>'Gerar Hietograma'!$G$3/'Gerar Hietograma'!$G$2*F64</f>
        <v>610</v>
      </c>
      <c r="J65">
        <f t="shared" si="4"/>
        <v>180</v>
      </c>
      <c r="K65">
        <f t="shared" si="5"/>
        <v>120</v>
      </c>
      <c r="L65" t="e" cm="1">
        <f t="array" ref="L65">INDEX(x_conhecido, MATCH(I65, x_conhecido, 1) + 1)</f>
        <v>#REF!</v>
      </c>
      <c r="M65" t="e" cm="1">
        <f t="array" ref="M65">INDEX(y_conhecido, MATCH(I65,x_conhecido, 1) + 1)</f>
        <v>#REF!</v>
      </c>
      <c r="N65">
        <f t="shared" si="6"/>
        <v>120</v>
      </c>
      <c r="O65">
        <f t="shared" si="7"/>
        <v>0</v>
      </c>
    </row>
    <row r="66" spans="6:15" x14ac:dyDescent="0.25">
      <c r="F66" s="3">
        <v>63</v>
      </c>
      <c r="G66" s="32">
        <v>0</v>
      </c>
      <c r="H66" s="32">
        <f>IF('Gerar Hietograma'!$F$5=1,'Gerar Hietograma'!$G$4/100*B66,IF('Gerar Hietograma'!$F$5=2,'Gerar Hietograma'!$G$4/100*C66,IF('Gerar Hietograma'!$F$5=3,'Gerar Hietograma'!$G$4/100*D66,IF('Gerar Hietograma'!$F$5=4,'Gerar Hietograma'!$G$4/100*E66,0))))</f>
        <v>0</v>
      </c>
      <c r="I66" s="32">
        <f>'Gerar Hietograma'!$G$3/'Gerar Hietograma'!$G$2*F65</f>
        <v>620</v>
      </c>
      <c r="J66">
        <f t="shared" si="4"/>
        <v>180</v>
      </c>
      <c r="K66">
        <f t="shared" si="5"/>
        <v>120</v>
      </c>
      <c r="L66" t="e" cm="1">
        <f t="array" ref="L66">INDEX(x_conhecido, MATCH(I66, x_conhecido, 1) + 1)</f>
        <v>#REF!</v>
      </c>
      <c r="M66" t="e" cm="1">
        <f t="array" ref="M66">INDEX(y_conhecido, MATCH(I66,x_conhecido, 1) + 1)</f>
        <v>#REF!</v>
      </c>
      <c r="N66">
        <f t="shared" si="6"/>
        <v>120</v>
      </c>
      <c r="O66">
        <f t="shared" si="7"/>
        <v>0</v>
      </c>
    </row>
    <row r="67" spans="6:15" x14ac:dyDescent="0.25">
      <c r="F67" s="3">
        <v>64</v>
      </c>
      <c r="G67" s="32">
        <v>0</v>
      </c>
      <c r="H67" s="32">
        <f>IF('Gerar Hietograma'!$F$5=1,'Gerar Hietograma'!$G$4/100*B67,IF('Gerar Hietograma'!$F$5=2,'Gerar Hietograma'!$G$4/100*C67,IF('Gerar Hietograma'!$F$5=3,'Gerar Hietograma'!$G$4/100*D67,IF('Gerar Hietograma'!$F$5=4,'Gerar Hietograma'!$G$4/100*E67,0))))</f>
        <v>0</v>
      </c>
      <c r="I67" s="32">
        <f>'Gerar Hietograma'!$G$3/'Gerar Hietograma'!$G$2*F66</f>
        <v>630</v>
      </c>
      <c r="J67">
        <f t="shared" si="4"/>
        <v>180</v>
      </c>
      <c r="K67">
        <f t="shared" si="5"/>
        <v>120</v>
      </c>
      <c r="L67" t="e" cm="1">
        <f t="array" ref="L67">INDEX(x_conhecido, MATCH(I67, x_conhecido, 1) + 1)</f>
        <v>#REF!</v>
      </c>
      <c r="M67" t="e" cm="1">
        <f t="array" ref="M67">INDEX(y_conhecido, MATCH(I67,x_conhecido, 1) + 1)</f>
        <v>#REF!</v>
      </c>
      <c r="N67">
        <f t="shared" si="6"/>
        <v>120</v>
      </c>
      <c r="O67">
        <f t="shared" si="7"/>
        <v>0</v>
      </c>
    </row>
    <row r="68" spans="6:15" x14ac:dyDescent="0.25">
      <c r="F68" s="3">
        <v>65</v>
      </c>
      <c r="G68" s="32">
        <v>0</v>
      </c>
      <c r="H68" s="32">
        <f>IF('Gerar Hietograma'!$F$5=1,'Gerar Hietograma'!$G$4/100*B68,IF('Gerar Hietograma'!$F$5=2,'Gerar Hietograma'!$G$4/100*C68,IF('Gerar Hietograma'!$F$5=3,'Gerar Hietograma'!$G$4/100*D68,IF('Gerar Hietograma'!$F$5=4,'Gerar Hietograma'!$G$4/100*E68,0))))</f>
        <v>0</v>
      </c>
      <c r="I68" s="32">
        <f>'Gerar Hietograma'!$G$3/'Gerar Hietograma'!$G$2*F67</f>
        <v>640</v>
      </c>
      <c r="J68">
        <f t="shared" ref="J68:J99" si="8">INDEX(x_conhecido,MATCH(I68,x_conhecido,1))</f>
        <v>180</v>
      </c>
      <c r="K68">
        <f t="shared" ref="K68:K104" si="9">INDEX(y_conhecido,MATCH(I68,x_conhecido,1))</f>
        <v>120</v>
      </c>
      <c r="L68" t="e" cm="1">
        <f t="array" ref="L68">INDEX(x_conhecido, MATCH(I68, x_conhecido, 1) + 1)</f>
        <v>#REF!</v>
      </c>
      <c r="M68" t="e" cm="1">
        <f t="array" ref="M68">INDEX(y_conhecido, MATCH(I68,x_conhecido, 1) + 1)</f>
        <v>#REF!</v>
      </c>
      <c r="N68">
        <f t="shared" ref="N68:N99" si="10">IF(MATCH(I68,x_conhecido,1)=COUNTA(x_conhecido),K68,K68+(M68-K68)*(I68-J68)/(L68-J68))</f>
        <v>120</v>
      </c>
      <c r="O68">
        <f t="shared" si="7"/>
        <v>0</v>
      </c>
    </row>
    <row r="69" spans="6:15" x14ac:dyDescent="0.25">
      <c r="F69" s="3">
        <v>66</v>
      </c>
      <c r="G69" s="32">
        <v>0</v>
      </c>
      <c r="H69" s="32">
        <f>IF('Gerar Hietograma'!$F$5=1,'Gerar Hietograma'!$G$4/100*B69,IF('Gerar Hietograma'!$F$5=2,'Gerar Hietograma'!$G$4/100*C69,IF('Gerar Hietograma'!$F$5=3,'Gerar Hietograma'!$G$4/100*D69,IF('Gerar Hietograma'!$F$5=4,'Gerar Hietograma'!$G$4/100*E69,0))))</f>
        <v>0</v>
      </c>
      <c r="I69" s="32">
        <f>'Gerar Hietograma'!$G$3/'Gerar Hietograma'!$G$2*F68</f>
        <v>650</v>
      </c>
      <c r="J69">
        <f t="shared" si="8"/>
        <v>180</v>
      </c>
      <c r="K69">
        <f t="shared" si="9"/>
        <v>120</v>
      </c>
      <c r="L69" t="e" cm="1">
        <f t="array" ref="L69">INDEX(x_conhecido, MATCH(I69, x_conhecido, 1) + 1)</f>
        <v>#REF!</v>
      </c>
      <c r="M69" t="e" cm="1">
        <f t="array" ref="M69">INDEX(y_conhecido, MATCH(I69,x_conhecido, 1) + 1)</f>
        <v>#REF!</v>
      </c>
      <c r="N69">
        <f t="shared" si="10"/>
        <v>120</v>
      </c>
      <c r="O69">
        <f t="shared" si="7"/>
        <v>0</v>
      </c>
    </row>
    <row r="70" spans="6:15" x14ac:dyDescent="0.25">
      <c r="F70" s="3">
        <v>67</v>
      </c>
      <c r="G70" s="32">
        <v>0</v>
      </c>
      <c r="H70" s="32">
        <f>IF('Gerar Hietograma'!$F$5=1,'Gerar Hietograma'!$G$4/100*B70,IF('Gerar Hietograma'!$F$5=2,'Gerar Hietograma'!$G$4/100*C70,IF('Gerar Hietograma'!$F$5=3,'Gerar Hietograma'!$G$4/100*D70,IF('Gerar Hietograma'!$F$5=4,'Gerar Hietograma'!$G$4/100*E70,0))))</f>
        <v>0</v>
      </c>
      <c r="I70" s="32">
        <f>'Gerar Hietograma'!$G$3/'Gerar Hietograma'!$G$2*F69</f>
        <v>660</v>
      </c>
      <c r="J70">
        <f t="shared" si="8"/>
        <v>180</v>
      </c>
      <c r="K70">
        <f t="shared" si="9"/>
        <v>120</v>
      </c>
      <c r="L70" t="e" cm="1">
        <f t="array" ref="L70">INDEX(x_conhecido, MATCH(I70, x_conhecido, 1) + 1)</f>
        <v>#REF!</v>
      </c>
      <c r="M70" t="e" cm="1">
        <f t="array" ref="M70">INDEX(y_conhecido, MATCH(I70,x_conhecido, 1) + 1)</f>
        <v>#REF!</v>
      </c>
      <c r="N70">
        <f t="shared" si="10"/>
        <v>120</v>
      </c>
      <c r="O70">
        <f t="shared" si="7"/>
        <v>0</v>
      </c>
    </row>
    <row r="71" spans="6:15" x14ac:dyDescent="0.25">
      <c r="F71" s="3">
        <v>68</v>
      </c>
      <c r="G71" s="32">
        <v>0</v>
      </c>
      <c r="H71" s="32">
        <f>IF('Gerar Hietograma'!$F$5=1,'Gerar Hietograma'!$G$4/100*B71,IF('Gerar Hietograma'!$F$5=2,'Gerar Hietograma'!$G$4/100*C71,IF('Gerar Hietograma'!$F$5=3,'Gerar Hietograma'!$G$4/100*D71,IF('Gerar Hietograma'!$F$5=4,'Gerar Hietograma'!$G$4/100*E71,0))))</f>
        <v>0</v>
      </c>
      <c r="I71" s="32">
        <f>'Gerar Hietograma'!$G$3/'Gerar Hietograma'!$G$2*F70</f>
        <v>670</v>
      </c>
      <c r="J71">
        <f t="shared" si="8"/>
        <v>180</v>
      </c>
      <c r="K71">
        <f t="shared" si="9"/>
        <v>120</v>
      </c>
      <c r="L71" t="e" cm="1">
        <f t="array" ref="L71">INDEX(x_conhecido, MATCH(I71, x_conhecido, 1) + 1)</f>
        <v>#REF!</v>
      </c>
      <c r="M71" t="e" cm="1">
        <f t="array" ref="M71">INDEX(y_conhecido, MATCH(I71,x_conhecido, 1) + 1)</f>
        <v>#REF!</v>
      </c>
      <c r="N71">
        <f t="shared" si="10"/>
        <v>120</v>
      </c>
      <c r="O71">
        <f t="shared" si="7"/>
        <v>0</v>
      </c>
    </row>
    <row r="72" spans="6:15" x14ac:dyDescent="0.25">
      <c r="F72" s="3">
        <v>69</v>
      </c>
      <c r="G72" s="32">
        <v>0</v>
      </c>
      <c r="H72" s="32">
        <f>IF('Gerar Hietograma'!$F$5=1,'Gerar Hietograma'!$G$4/100*B72,IF('Gerar Hietograma'!$F$5=2,'Gerar Hietograma'!$G$4/100*C72,IF('Gerar Hietograma'!$F$5=3,'Gerar Hietograma'!$G$4/100*D72,IF('Gerar Hietograma'!$F$5=4,'Gerar Hietograma'!$G$4/100*E72,0))))</f>
        <v>0</v>
      </c>
      <c r="I72" s="32">
        <f>'Gerar Hietograma'!$G$3/'Gerar Hietograma'!$G$2*F71</f>
        <v>680</v>
      </c>
      <c r="J72">
        <f t="shared" si="8"/>
        <v>180</v>
      </c>
      <c r="K72">
        <f t="shared" si="9"/>
        <v>120</v>
      </c>
      <c r="L72" t="e" cm="1">
        <f t="array" ref="L72">INDEX(x_conhecido, MATCH(I72, x_conhecido, 1) + 1)</f>
        <v>#REF!</v>
      </c>
      <c r="M72" t="e" cm="1">
        <f t="array" ref="M72">INDEX(y_conhecido, MATCH(I72,x_conhecido, 1) + 1)</f>
        <v>#REF!</v>
      </c>
      <c r="N72">
        <f t="shared" si="10"/>
        <v>120</v>
      </c>
      <c r="O72">
        <f t="shared" si="7"/>
        <v>0</v>
      </c>
    </row>
    <row r="73" spans="6:15" x14ac:dyDescent="0.25">
      <c r="F73" s="3">
        <v>70</v>
      </c>
      <c r="G73" s="32">
        <v>0</v>
      </c>
      <c r="H73" s="32">
        <f>IF('Gerar Hietograma'!$F$5=1,'Gerar Hietograma'!$G$4/100*B73,IF('Gerar Hietograma'!$F$5=2,'Gerar Hietograma'!$G$4/100*C73,IF('Gerar Hietograma'!$F$5=3,'Gerar Hietograma'!$G$4/100*D73,IF('Gerar Hietograma'!$F$5=4,'Gerar Hietograma'!$G$4/100*E73,0))))</f>
        <v>0</v>
      </c>
      <c r="I73" s="32">
        <f>'Gerar Hietograma'!$G$3/'Gerar Hietograma'!$G$2*F72</f>
        <v>690</v>
      </c>
      <c r="J73">
        <f t="shared" si="8"/>
        <v>180</v>
      </c>
      <c r="K73">
        <f t="shared" si="9"/>
        <v>120</v>
      </c>
      <c r="L73" t="e" cm="1">
        <f t="array" ref="L73">INDEX(x_conhecido, MATCH(I73, x_conhecido, 1) + 1)</f>
        <v>#REF!</v>
      </c>
      <c r="M73" t="e" cm="1">
        <f t="array" ref="M73">INDEX(y_conhecido, MATCH(I73,x_conhecido, 1) + 1)</f>
        <v>#REF!</v>
      </c>
      <c r="N73">
        <f t="shared" si="10"/>
        <v>120</v>
      </c>
      <c r="O73">
        <f t="shared" si="7"/>
        <v>0</v>
      </c>
    </row>
    <row r="74" spans="6:15" x14ac:dyDescent="0.25">
      <c r="F74" s="3">
        <v>71</v>
      </c>
      <c r="G74" s="32">
        <v>0</v>
      </c>
      <c r="H74" s="32">
        <f>IF('Gerar Hietograma'!$F$5=1,'Gerar Hietograma'!$G$4/100*B74,IF('Gerar Hietograma'!$F$5=2,'Gerar Hietograma'!$G$4/100*C74,IF('Gerar Hietograma'!$F$5=3,'Gerar Hietograma'!$G$4/100*D74,IF('Gerar Hietograma'!$F$5=4,'Gerar Hietograma'!$G$4/100*E74,0))))</f>
        <v>0</v>
      </c>
      <c r="I74" s="32">
        <f>'Gerar Hietograma'!$G$3/'Gerar Hietograma'!$G$2*F73</f>
        <v>700</v>
      </c>
      <c r="J74">
        <f t="shared" si="8"/>
        <v>180</v>
      </c>
      <c r="K74">
        <f t="shared" si="9"/>
        <v>120</v>
      </c>
      <c r="L74" t="e" cm="1">
        <f t="array" ref="L74">INDEX(x_conhecido, MATCH(I74, x_conhecido, 1) + 1)</f>
        <v>#REF!</v>
      </c>
      <c r="M74" t="e" cm="1">
        <f t="array" ref="M74">INDEX(y_conhecido, MATCH(I74,x_conhecido, 1) + 1)</f>
        <v>#REF!</v>
      </c>
      <c r="N74">
        <f t="shared" si="10"/>
        <v>120</v>
      </c>
      <c r="O74">
        <f t="shared" si="7"/>
        <v>0</v>
      </c>
    </row>
    <row r="75" spans="6:15" x14ac:dyDescent="0.25">
      <c r="F75" s="3">
        <v>72</v>
      </c>
      <c r="G75" s="32">
        <v>0</v>
      </c>
      <c r="H75" s="32">
        <f>IF('Gerar Hietograma'!$F$5=1,'Gerar Hietograma'!$G$4/100*B75,IF('Gerar Hietograma'!$F$5=2,'Gerar Hietograma'!$G$4/100*C75,IF('Gerar Hietograma'!$F$5=3,'Gerar Hietograma'!$G$4/100*D75,IF('Gerar Hietograma'!$F$5=4,'Gerar Hietograma'!$G$4/100*E75,0))))</f>
        <v>0</v>
      </c>
      <c r="I75" s="32">
        <f>'Gerar Hietograma'!$G$3/'Gerar Hietograma'!$G$2*F74</f>
        <v>710</v>
      </c>
      <c r="J75">
        <f t="shared" si="8"/>
        <v>180</v>
      </c>
      <c r="K75">
        <f t="shared" si="9"/>
        <v>120</v>
      </c>
      <c r="L75" t="e" cm="1">
        <f t="array" ref="L75">INDEX(x_conhecido, MATCH(I75, x_conhecido, 1) + 1)</f>
        <v>#REF!</v>
      </c>
      <c r="M75" t="e" cm="1">
        <f t="array" ref="M75">INDEX(y_conhecido, MATCH(I75,x_conhecido, 1) + 1)</f>
        <v>#REF!</v>
      </c>
      <c r="N75">
        <f t="shared" si="10"/>
        <v>120</v>
      </c>
      <c r="O75">
        <f t="shared" si="7"/>
        <v>0</v>
      </c>
    </row>
    <row r="76" spans="6:15" x14ac:dyDescent="0.25">
      <c r="F76" s="3">
        <v>73</v>
      </c>
      <c r="G76" s="32">
        <v>0</v>
      </c>
      <c r="H76" s="32">
        <f>IF('Gerar Hietograma'!$F$5=1,'Gerar Hietograma'!$G$4/100*B76,IF('Gerar Hietograma'!$F$5=2,'Gerar Hietograma'!$G$4/100*C76,IF('Gerar Hietograma'!$F$5=3,'Gerar Hietograma'!$G$4/100*D76,IF('Gerar Hietograma'!$F$5=4,'Gerar Hietograma'!$G$4/100*E76,0))))</f>
        <v>0</v>
      </c>
      <c r="I76" s="32">
        <f>'Gerar Hietograma'!$G$3/'Gerar Hietograma'!$G$2*F75</f>
        <v>720</v>
      </c>
      <c r="J76">
        <f t="shared" si="8"/>
        <v>180</v>
      </c>
      <c r="K76">
        <f t="shared" si="9"/>
        <v>120</v>
      </c>
      <c r="L76" t="e" cm="1">
        <f t="array" ref="L76">INDEX(x_conhecido, MATCH(I76, x_conhecido, 1) + 1)</f>
        <v>#REF!</v>
      </c>
      <c r="M76" t="e" cm="1">
        <f t="array" ref="M76">INDEX(y_conhecido, MATCH(I76,x_conhecido, 1) + 1)</f>
        <v>#REF!</v>
      </c>
      <c r="N76">
        <f t="shared" si="10"/>
        <v>120</v>
      </c>
      <c r="O76">
        <f t="shared" si="7"/>
        <v>0</v>
      </c>
    </row>
    <row r="77" spans="6:15" x14ac:dyDescent="0.25">
      <c r="F77" s="3">
        <v>74</v>
      </c>
      <c r="G77" s="32">
        <v>0</v>
      </c>
      <c r="H77" s="32">
        <f>IF('Gerar Hietograma'!$F$5=1,'Gerar Hietograma'!$G$4/100*B77,IF('Gerar Hietograma'!$F$5=2,'Gerar Hietograma'!$G$4/100*C77,IF('Gerar Hietograma'!$F$5=3,'Gerar Hietograma'!$G$4/100*D77,IF('Gerar Hietograma'!$F$5=4,'Gerar Hietograma'!$G$4/100*E77,0))))</f>
        <v>0</v>
      </c>
      <c r="I77" s="32">
        <f>'Gerar Hietograma'!$G$3/'Gerar Hietograma'!$G$2*F76</f>
        <v>730</v>
      </c>
      <c r="J77">
        <f t="shared" si="8"/>
        <v>180</v>
      </c>
      <c r="K77">
        <f t="shared" si="9"/>
        <v>120</v>
      </c>
      <c r="L77" t="e" cm="1">
        <f t="array" ref="L77">INDEX(x_conhecido, MATCH(I77, x_conhecido, 1) + 1)</f>
        <v>#REF!</v>
      </c>
      <c r="M77" t="e" cm="1">
        <f t="array" ref="M77">INDEX(y_conhecido, MATCH(I77,x_conhecido, 1) + 1)</f>
        <v>#REF!</v>
      </c>
      <c r="N77">
        <f t="shared" si="10"/>
        <v>120</v>
      </c>
      <c r="O77">
        <f t="shared" si="7"/>
        <v>0</v>
      </c>
    </row>
    <row r="78" spans="6:15" x14ac:dyDescent="0.25">
      <c r="F78" s="3">
        <v>75</v>
      </c>
      <c r="G78" s="32">
        <v>0</v>
      </c>
      <c r="H78" s="32">
        <f>IF('Gerar Hietograma'!$F$5=1,'Gerar Hietograma'!$G$4/100*B78,IF('Gerar Hietograma'!$F$5=2,'Gerar Hietograma'!$G$4/100*C78,IF('Gerar Hietograma'!$F$5=3,'Gerar Hietograma'!$G$4/100*D78,IF('Gerar Hietograma'!$F$5=4,'Gerar Hietograma'!$G$4/100*E78,0))))</f>
        <v>0</v>
      </c>
      <c r="I78" s="32">
        <f>'Gerar Hietograma'!$G$3/'Gerar Hietograma'!$G$2*F77</f>
        <v>740</v>
      </c>
      <c r="J78">
        <f t="shared" si="8"/>
        <v>180</v>
      </c>
      <c r="K78">
        <f t="shared" si="9"/>
        <v>120</v>
      </c>
      <c r="L78" t="e" cm="1">
        <f t="array" ref="L78">INDEX(x_conhecido, MATCH(I78, x_conhecido, 1) + 1)</f>
        <v>#REF!</v>
      </c>
      <c r="M78" t="e" cm="1">
        <f t="array" ref="M78">INDEX(y_conhecido, MATCH(I78,x_conhecido, 1) + 1)</f>
        <v>#REF!</v>
      </c>
      <c r="N78">
        <f t="shared" si="10"/>
        <v>120</v>
      </c>
      <c r="O78">
        <f t="shared" si="7"/>
        <v>0</v>
      </c>
    </row>
    <row r="79" spans="6:15" x14ac:dyDescent="0.25">
      <c r="F79" s="3">
        <v>76</v>
      </c>
      <c r="G79" s="32">
        <v>0</v>
      </c>
      <c r="H79" s="32">
        <f>IF('Gerar Hietograma'!$F$5=1,'Gerar Hietograma'!$G$4/100*B79,IF('Gerar Hietograma'!$F$5=2,'Gerar Hietograma'!$G$4/100*C79,IF('Gerar Hietograma'!$F$5=3,'Gerar Hietograma'!$G$4/100*D79,IF('Gerar Hietograma'!$F$5=4,'Gerar Hietograma'!$G$4/100*E79,0))))</f>
        <v>0</v>
      </c>
      <c r="I79" s="32">
        <f>'Gerar Hietograma'!$G$3/'Gerar Hietograma'!$G$2*F78</f>
        <v>750</v>
      </c>
      <c r="J79">
        <f t="shared" si="8"/>
        <v>180</v>
      </c>
      <c r="K79">
        <f t="shared" si="9"/>
        <v>120</v>
      </c>
      <c r="L79" t="e" cm="1">
        <f t="array" ref="L79">INDEX(x_conhecido, MATCH(I79, x_conhecido, 1) + 1)</f>
        <v>#REF!</v>
      </c>
      <c r="M79" t="e" cm="1">
        <f t="array" ref="M79">INDEX(y_conhecido, MATCH(I79,x_conhecido, 1) + 1)</f>
        <v>#REF!</v>
      </c>
      <c r="N79">
        <f t="shared" si="10"/>
        <v>120</v>
      </c>
      <c r="O79">
        <f t="shared" si="7"/>
        <v>0</v>
      </c>
    </row>
    <row r="80" spans="6:15" x14ac:dyDescent="0.25">
      <c r="F80" s="3">
        <v>77</v>
      </c>
      <c r="G80" s="32">
        <v>0</v>
      </c>
      <c r="H80" s="32">
        <f>IF('Gerar Hietograma'!$F$5=1,'Gerar Hietograma'!$G$4/100*B80,IF('Gerar Hietograma'!$F$5=2,'Gerar Hietograma'!$G$4/100*C80,IF('Gerar Hietograma'!$F$5=3,'Gerar Hietograma'!$G$4/100*D80,IF('Gerar Hietograma'!$F$5=4,'Gerar Hietograma'!$G$4/100*E80,0))))</f>
        <v>0</v>
      </c>
      <c r="I80" s="32">
        <f>'Gerar Hietograma'!$G$3/'Gerar Hietograma'!$G$2*F79</f>
        <v>760</v>
      </c>
      <c r="J80">
        <f t="shared" si="8"/>
        <v>180</v>
      </c>
      <c r="K80">
        <f t="shared" si="9"/>
        <v>120</v>
      </c>
      <c r="L80" t="e" cm="1">
        <f t="array" ref="L80">INDEX(x_conhecido, MATCH(I80, x_conhecido, 1) + 1)</f>
        <v>#REF!</v>
      </c>
      <c r="M80" t="e" cm="1">
        <f t="array" ref="M80">INDEX(y_conhecido, MATCH(I80,x_conhecido, 1) + 1)</f>
        <v>#REF!</v>
      </c>
      <c r="N80">
        <f t="shared" si="10"/>
        <v>120</v>
      </c>
      <c r="O80">
        <f t="shared" si="7"/>
        <v>0</v>
      </c>
    </row>
    <row r="81" spans="6:15" x14ac:dyDescent="0.25">
      <c r="F81" s="3">
        <v>78</v>
      </c>
      <c r="G81" s="32">
        <v>0</v>
      </c>
      <c r="H81" s="32">
        <f>IF('Gerar Hietograma'!$F$5=1,'Gerar Hietograma'!$G$4/100*B81,IF('Gerar Hietograma'!$F$5=2,'Gerar Hietograma'!$G$4/100*C81,IF('Gerar Hietograma'!$F$5=3,'Gerar Hietograma'!$G$4/100*D81,IF('Gerar Hietograma'!$F$5=4,'Gerar Hietograma'!$G$4/100*E81,0))))</f>
        <v>0</v>
      </c>
      <c r="I81" s="32">
        <f>'Gerar Hietograma'!$G$3/'Gerar Hietograma'!$G$2*F80</f>
        <v>770</v>
      </c>
      <c r="J81">
        <f t="shared" si="8"/>
        <v>180</v>
      </c>
      <c r="K81">
        <f t="shared" si="9"/>
        <v>120</v>
      </c>
      <c r="L81" t="e" cm="1">
        <f t="array" ref="L81">INDEX(x_conhecido, MATCH(I81, x_conhecido, 1) + 1)</f>
        <v>#REF!</v>
      </c>
      <c r="M81" t="e" cm="1">
        <f t="array" ref="M81">INDEX(y_conhecido, MATCH(I81,x_conhecido, 1) + 1)</f>
        <v>#REF!</v>
      </c>
      <c r="N81">
        <f t="shared" si="10"/>
        <v>120</v>
      </c>
      <c r="O81">
        <f t="shared" si="7"/>
        <v>0</v>
      </c>
    </row>
    <row r="82" spans="6:15" x14ac:dyDescent="0.25">
      <c r="F82" s="3">
        <v>79</v>
      </c>
      <c r="G82" s="32">
        <v>0</v>
      </c>
      <c r="H82" s="32">
        <f>IF('Gerar Hietograma'!$F$5=1,'Gerar Hietograma'!$G$4/100*B82,IF('Gerar Hietograma'!$F$5=2,'Gerar Hietograma'!$G$4/100*C82,IF('Gerar Hietograma'!$F$5=3,'Gerar Hietograma'!$G$4/100*D82,IF('Gerar Hietograma'!$F$5=4,'Gerar Hietograma'!$G$4/100*E82,0))))</f>
        <v>0</v>
      </c>
      <c r="I82" s="32">
        <f>'Gerar Hietograma'!$G$3/'Gerar Hietograma'!$G$2*F81</f>
        <v>780</v>
      </c>
      <c r="J82">
        <f t="shared" si="8"/>
        <v>180</v>
      </c>
      <c r="K82">
        <f t="shared" si="9"/>
        <v>120</v>
      </c>
      <c r="L82" t="e" cm="1">
        <f t="array" ref="L82">INDEX(x_conhecido, MATCH(I82, x_conhecido, 1) + 1)</f>
        <v>#REF!</v>
      </c>
      <c r="M82" t="e" cm="1">
        <f t="array" ref="M82">INDEX(y_conhecido, MATCH(I82,x_conhecido, 1) + 1)</f>
        <v>#REF!</v>
      </c>
      <c r="N82">
        <f t="shared" si="10"/>
        <v>120</v>
      </c>
      <c r="O82">
        <f t="shared" si="7"/>
        <v>0</v>
      </c>
    </row>
    <row r="83" spans="6:15" x14ac:dyDescent="0.25">
      <c r="F83" s="3">
        <v>80</v>
      </c>
      <c r="G83" s="32">
        <v>0</v>
      </c>
      <c r="H83" s="32">
        <f>IF('Gerar Hietograma'!$F$5=1,'Gerar Hietograma'!$G$4/100*B83,IF('Gerar Hietograma'!$F$5=2,'Gerar Hietograma'!$G$4/100*C83,IF('Gerar Hietograma'!$F$5=3,'Gerar Hietograma'!$G$4/100*D83,IF('Gerar Hietograma'!$F$5=4,'Gerar Hietograma'!$G$4/100*E83,0))))</f>
        <v>0</v>
      </c>
      <c r="I83" s="32">
        <f>'Gerar Hietograma'!$G$3/'Gerar Hietograma'!$G$2*F82</f>
        <v>790</v>
      </c>
      <c r="J83">
        <f t="shared" si="8"/>
        <v>180</v>
      </c>
      <c r="K83">
        <f t="shared" si="9"/>
        <v>120</v>
      </c>
      <c r="L83" t="e" cm="1">
        <f t="array" ref="L83">INDEX(x_conhecido, MATCH(I83, x_conhecido, 1) + 1)</f>
        <v>#REF!</v>
      </c>
      <c r="M83" t="e" cm="1">
        <f t="array" ref="M83">INDEX(y_conhecido, MATCH(I83,x_conhecido, 1) + 1)</f>
        <v>#REF!</v>
      </c>
      <c r="N83">
        <f t="shared" si="10"/>
        <v>120</v>
      </c>
      <c r="O83">
        <f t="shared" si="7"/>
        <v>0</v>
      </c>
    </row>
    <row r="84" spans="6:15" x14ac:dyDescent="0.25">
      <c r="F84" s="3">
        <v>81</v>
      </c>
      <c r="G84" s="32">
        <v>0</v>
      </c>
      <c r="H84" s="32">
        <f>IF('Gerar Hietograma'!$F$5=1,'Gerar Hietograma'!$G$4/100*B84,IF('Gerar Hietograma'!$F$5=2,'Gerar Hietograma'!$G$4/100*C84,IF('Gerar Hietograma'!$F$5=3,'Gerar Hietograma'!$G$4/100*D84,IF('Gerar Hietograma'!$F$5=4,'Gerar Hietograma'!$G$4/100*E84,0))))</f>
        <v>0</v>
      </c>
      <c r="I84" s="32">
        <f>'Gerar Hietograma'!$G$3/'Gerar Hietograma'!$G$2*F83</f>
        <v>800</v>
      </c>
      <c r="J84">
        <f t="shared" si="8"/>
        <v>180</v>
      </c>
      <c r="K84">
        <f t="shared" si="9"/>
        <v>120</v>
      </c>
      <c r="L84" t="e" cm="1">
        <f t="array" ref="L84">INDEX(x_conhecido, MATCH(I84, x_conhecido, 1) + 1)</f>
        <v>#REF!</v>
      </c>
      <c r="M84" t="e" cm="1">
        <f t="array" ref="M84">INDEX(y_conhecido, MATCH(I84,x_conhecido, 1) + 1)</f>
        <v>#REF!</v>
      </c>
      <c r="N84">
        <f t="shared" si="10"/>
        <v>120</v>
      </c>
      <c r="O84">
        <f t="shared" si="7"/>
        <v>0</v>
      </c>
    </row>
    <row r="85" spans="6:15" x14ac:dyDescent="0.25">
      <c r="F85" s="3">
        <v>82</v>
      </c>
      <c r="G85" s="32">
        <v>0</v>
      </c>
      <c r="H85" s="32">
        <f>IF('Gerar Hietograma'!$F$5=1,'Gerar Hietograma'!$G$4/100*B85,IF('Gerar Hietograma'!$F$5=2,'Gerar Hietograma'!$G$4/100*C85,IF('Gerar Hietograma'!$F$5=3,'Gerar Hietograma'!$G$4/100*D85,IF('Gerar Hietograma'!$F$5=4,'Gerar Hietograma'!$G$4/100*E85,0))))</f>
        <v>0</v>
      </c>
      <c r="I85" s="32">
        <f>'Gerar Hietograma'!$G$3/'Gerar Hietograma'!$G$2*F84</f>
        <v>810</v>
      </c>
      <c r="J85">
        <f t="shared" si="8"/>
        <v>180</v>
      </c>
      <c r="K85">
        <f t="shared" si="9"/>
        <v>120</v>
      </c>
      <c r="L85" t="e" cm="1">
        <f t="array" ref="L85">INDEX(x_conhecido, MATCH(I85, x_conhecido, 1) + 1)</f>
        <v>#REF!</v>
      </c>
      <c r="M85" t="e" cm="1">
        <f t="array" ref="M85">INDEX(y_conhecido, MATCH(I85,x_conhecido, 1) + 1)</f>
        <v>#REF!</v>
      </c>
      <c r="N85">
        <f t="shared" si="10"/>
        <v>120</v>
      </c>
      <c r="O85">
        <f t="shared" si="7"/>
        <v>0</v>
      </c>
    </row>
    <row r="86" spans="6:15" x14ac:dyDescent="0.25">
      <c r="F86" s="3">
        <v>83</v>
      </c>
      <c r="G86" s="32">
        <v>0</v>
      </c>
      <c r="H86" s="32">
        <f>IF('Gerar Hietograma'!$F$5=1,'Gerar Hietograma'!$G$4/100*B86,IF('Gerar Hietograma'!$F$5=2,'Gerar Hietograma'!$G$4/100*C86,IF('Gerar Hietograma'!$F$5=3,'Gerar Hietograma'!$G$4/100*D86,IF('Gerar Hietograma'!$F$5=4,'Gerar Hietograma'!$G$4/100*E86,0))))</f>
        <v>0</v>
      </c>
      <c r="I86" s="32">
        <f>'Gerar Hietograma'!$G$3/'Gerar Hietograma'!$G$2*F85</f>
        <v>820</v>
      </c>
      <c r="J86">
        <f t="shared" si="8"/>
        <v>180</v>
      </c>
      <c r="K86">
        <f t="shared" si="9"/>
        <v>120</v>
      </c>
      <c r="L86" t="e" cm="1">
        <f t="array" ref="L86">INDEX(x_conhecido, MATCH(I86, x_conhecido, 1) + 1)</f>
        <v>#REF!</v>
      </c>
      <c r="M86" t="e" cm="1">
        <f t="array" ref="M86">INDEX(y_conhecido, MATCH(I86,x_conhecido, 1) + 1)</f>
        <v>#REF!</v>
      </c>
      <c r="N86">
        <f t="shared" si="10"/>
        <v>120</v>
      </c>
      <c r="O86">
        <f t="shared" si="7"/>
        <v>0</v>
      </c>
    </row>
    <row r="87" spans="6:15" x14ac:dyDescent="0.25">
      <c r="F87" s="3">
        <v>84</v>
      </c>
      <c r="G87" s="32">
        <v>0</v>
      </c>
      <c r="H87" s="32">
        <f>IF('Gerar Hietograma'!$F$5=1,'Gerar Hietograma'!$G$4/100*B87,IF('Gerar Hietograma'!$F$5=2,'Gerar Hietograma'!$G$4/100*C87,IF('Gerar Hietograma'!$F$5=3,'Gerar Hietograma'!$G$4/100*D87,IF('Gerar Hietograma'!$F$5=4,'Gerar Hietograma'!$G$4/100*E87,0))))</f>
        <v>0</v>
      </c>
      <c r="I87" s="32">
        <f>'Gerar Hietograma'!$G$3/'Gerar Hietograma'!$G$2*F86</f>
        <v>830</v>
      </c>
      <c r="J87">
        <f t="shared" si="8"/>
        <v>180</v>
      </c>
      <c r="K87">
        <f t="shared" si="9"/>
        <v>120</v>
      </c>
      <c r="L87" t="e" cm="1">
        <f t="array" ref="L87">INDEX(x_conhecido, MATCH(I87, x_conhecido, 1) + 1)</f>
        <v>#REF!</v>
      </c>
      <c r="M87" t="e" cm="1">
        <f t="array" ref="M87">INDEX(y_conhecido, MATCH(I87,x_conhecido, 1) + 1)</f>
        <v>#REF!</v>
      </c>
      <c r="N87">
        <f t="shared" si="10"/>
        <v>120</v>
      </c>
      <c r="O87">
        <f t="shared" si="7"/>
        <v>0</v>
      </c>
    </row>
    <row r="88" spans="6:15" x14ac:dyDescent="0.25">
      <c r="F88" s="3">
        <v>85</v>
      </c>
      <c r="G88" s="32">
        <v>0</v>
      </c>
      <c r="H88" s="32">
        <f>IF('Gerar Hietograma'!$F$5=1,'Gerar Hietograma'!$G$4/100*B88,IF('Gerar Hietograma'!$F$5=2,'Gerar Hietograma'!$G$4/100*C88,IF('Gerar Hietograma'!$F$5=3,'Gerar Hietograma'!$G$4/100*D88,IF('Gerar Hietograma'!$F$5=4,'Gerar Hietograma'!$G$4/100*E88,0))))</f>
        <v>0</v>
      </c>
      <c r="I88" s="32">
        <f>'Gerar Hietograma'!$G$3/'Gerar Hietograma'!$G$2*F87</f>
        <v>840</v>
      </c>
      <c r="J88">
        <f t="shared" si="8"/>
        <v>180</v>
      </c>
      <c r="K88">
        <f t="shared" si="9"/>
        <v>120</v>
      </c>
      <c r="L88" t="e" cm="1">
        <f t="array" ref="L88">INDEX(x_conhecido, MATCH(I88, x_conhecido, 1) + 1)</f>
        <v>#REF!</v>
      </c>
      <c r="M88" t="e" cm="1">
        <f t="array" ref="M88">INDEX(y_conhecido, MATCH(I88,x_conhecido, 1) + 1)</f>
        <v>#REF!</v>
      </c>
      <c r="N88">
        <f t="shared" si="10"/>
        <v>120</v>
      </c>
      <c r="O88">
        <f t="shared" si="7"/>
        <v>0</v>
      </c>
    </row>
    <row r="89" spans="6:15" x14ac:dyDescent="0.25">
      <c r="F89" s="3">
        <v>86</v>
      </c>
      <c r="G89" s="32">
        <v>0</v>
      </c>
      <c r="H89" s="32">
        <f>IF('Gerar Hietograma'!$F$5=1,'Gerar Hietograma'!$G$4/100*B89,IF('Gerar Hietograma'!$F$5=2,'Gerar Hietograma'!$G$4/100*C89,IF('Gerar Hietograma'!$F$5=3,'Gerar Hietograma'!$G$4/100*D89,IF('Gerar Hietograma'!$F$5=4,'Gerar Hietograma'!$G$4/100*E89,0))))</f>
        <v>0</v>
      </c>
      <c r="I89" s="32">
        <f>'Gerar Hietograma'!$G$3/'Gerar Hietograma'!$G$2*F88</f>
        <v>850</v>
      </c>
      <c r="J89">
        <f t="shared" si="8"/>
        <v>180</v>
      </c>
      <c r="K89">
        <f t="shared" si="9"/>
        <v>120</v>
      </c>
      <c r="L89" t="e" cm="1">
        <f t="array" ref="L89">INDEX(x_conhecido, MATCH(I89, x_conhecido, 1) + 1)</f>
        <v>#REF!</v>
      </c>
      <c r="M89" t="e" cm="1">
        <f t="array" ref="M89">INDEX(y_conhecido, MATCH(I89,x_conhecido, 1) + 1)</f>
        <v>#REF!</v>
      </c>
      <c r="N89">
        <f t="shared" si="10"/>
        <v>120</v>
      </c>
      <c r="O89">
        <f t="shared" si="7"/>
        <v>0</v>
      </c>
    </row>
    <row r="90" spans="6:15" x14ac:dyDescent="0.25">
      <c r="F90" s="3">
        <v>87</v>
      </c>
      <c r="G90" s="32">
        <v>0</v>
      </c>
      <c r="H90" s="32">
        <f>IF('Gerar Hietograma'!$F$5=1,'Gerar Hietograma'!$G$4/100*B90,IF('Gerar Hietograma'!$F$5=2,'Gerar Hietograma'!$G$4/100*C90,IF('Gerar Hietograma'!$F$5=3,'Gerar Hietograma'!$G$4/100*D90,IF('Gerar Hietograma'!$F$5=4,'Gerar Hietograma'!$G$4/100*E90,0))))</f>
        <v>0</v>
      </c>
      <c r="I90" s="32">
        <f>'Gerar Hietograma'!$G$3/'Gerar Hietograma'!$G$2*F89</f>
        <v>860</v>
      </c>
      <c r="J90">
        <f t="shared" si="8"/>
        <v>180</v>
      </c>
      <c r="K90">
        <f t="shared" si="9"/>
        <v>120</v>
      </c>
      <c r="L90" t="e" cm="1">
        <f t="array" ref="L90">INDEX(x_conhecido, MATCH(I90, x_conhecido, 1) + 1)</f>
        <v>#REF!</v>
      </c>
      <c r="M90" t="e" cm="1">
        <f t="array" ref="M90">INDEX(y_conhecido, MATCH(I90,x_conhecido, 1) + 1)</f>
        <v>#REF!</v>
      </c>
      <c r="N90">
        <f t="shared" si="10"/>
        <v>120</v>
      </c>
      <c r="O90">
        <f t="shared" si="7"/>
        <v>0</v>
      </c>
    </row>
    <row r="91" spans="6:15" x14ac:dyDescent="0.25">
      <c r="F91" s="3">
        <v>88</v>
      </c>
      <c r="G91" s="32">
        <v>0</v>
      </c>
      <c r="H91" s="32">
        <f>IF('Gerar Hietograma'!$F$5=1,'Gerar Hietograma'!$G$4/100*B91,IF('Gerar Hietograma'!$F$5=2,'Gerar Hietograma'!$G$4/100*C91,IF('Gerar Hietograma'!$F$5=3,'Gerar Hietograma'!$G$4/100*D91,IF('Gerar Hietograma'!$F$5=4,'Gerar Hietograma'!$G$4/100*E91,0))))</f>
        <v>0</v>
      </c>
      <c r="I91" s="32">
        <f>'Gerar Hietograma'!$G$3/'Gerar Hietograma'!$G$2*F90</f>
        <v>870</v>
      </c>
      <c r="J91">
        <f t="shared" si="8"/>
        <v>180</v>
      </c>
      <c r="K91">
        <f t="shared" si="9"/>
        <v>120</v>
      </c>
      <c r="L91" t="e" cm="1">
        <f t="array" ref="L91">INDEX(x_conhecido, MATCH(I91, x_conhecido, 1) + 1)</f>
        <v>#REF!</v>
      </c>
      <c r="M91" t="e" cm="1">
        <f t="array" ref="M91">INDEX(y_conhecido, MATCH(I91,x_conhecido, 1) + 1)</f>
        <v>#REF!</v>
      </c>
      <c r="N91">
        <f t="shared" si="10"/>
        <v>120</v>
      </c>
      <c r="O91">
        <f t="shared" si="7"/>
        <v>0</v>
      </c>
    </row>
    <row r="92" spans="6:15" x14ac:dyDescent="0.25">
      <c r="F92" s="3">
        <v>89</v>
      </c>
      <c r="G92" s="32">
        <v>0</v>
      </c>
      <c r="H92" s="32">
        <f>IF('Gerar Hietograma'!$F$5=1,'Gerar Hietograma'!$G$4/100*B92,IF('Gerar Hietograma'!$F$5=2,'Gerar Hietograma'!$G$4/100*C92,IF('Gerar Hietograma'!$F$5=3,'Gerar Hietograma'!$G$4/100*D92,IF('Gerar Hietograma'!$F$5=4,'Gerar Hietograma'!$G$4/100*E92,0))))</f>
        <v>0</v>
      </c>
      <c r="I92" s="32">
        <f>'Gerar Hietograma'!$G$3/'Gerar Hietograma'!$G$2*F91</f>
        <v>880</v>
      </c>
      <c r="J92">
        <f t="shared" si="8"/>
        <v>180</v>
      </c>
      <c r="K92">
        <f t="shared" si="9"/>
        <v>120</v>
      </c>
      <c r="L92" t="e" cm="1">
        <f t="array" ref="L92">INDEX(x_conhecido, MATCH(I92, x_conhecido, 1) + 1)</f>
        <v>#REF!</v>
      </c>
      <c r="M92" t="e" cm="1">
        <f t="array" ref="M92">INDEX(y_conhecido, MATCH(I92,x_conhecido, 1) + 1)</f>
        <v>#REF!</v>
      </c>
      <c r="N92">
        <f t="shared" si="10"/>
        <v>120</v>
      </c>
      <c r="O92">
        <f t="shared" si="7"/>
        <v>0</v>
      </c>
    </row>
    <row r="93" spans="6:15" x14ac:dyDescent="0.25">
      <c r="F93" s="3">
        <v>90</v>
      </c>
      <c r="G93" s="32">
        <v>0</v>
      </c>
      <c r="H93" s="32">
        <f>IF('Gerar Hietograma'!$F$5=1,'Gerar Hietograma'!$G$4/100*B93,IF('Gerar Hietograma'!$F$5=2,'Gerar Hietograma'!$G$4/100*C93,IF('Gerar Hietograma'!$F$5=3,'Gerar Hietograma'!$G$4/100*D93,IF('Gerar Hietograma'!$F$5=4,'Gerar Hietograma'!$G$4/100*E93,0))))</f>
        <v>0</v>
      </c>
      <c r="I93" s="32">
        <f>'Gerar Hietograma'!$G$3/'Gerar Hietograma'!$G$2*F92</f>
        <v>890</v>
      </c>
      <c r="J93">
        <f t="shared" si="8"/>
        <v>180</v>
      </c>
      <c r="K93">
        <f t="shared" si="9"/>
        <v>120</v>
      </c>
      <c r="L93" t="e" cm="1">
        <f t="array" ref="L93">INDEX(x_conhecido, MATCH(I93, x_conhecido, 1) + 1)</f>
        <v>#REF!</v>
      </c>
      <c r="M93" t="e" cm="1">
        <f t="array" ref="M93">INDEX(y_conhecido, MATCH(I93,x_conhecido, 1) + 1)</f>
        <v>#REF!</v>
      </c>
      <c r="N93">
        <f t="shared" si="10"/>
        <v>120</v>
      </c>
      <c r="O93">
        <f t="shared" si="7"/>
        <v>0</v>
      </c>
    </row>
    <row r="94" spans="6:15" x14ac:dyDescent="0.25">
      <c r="F94" s="3">
        <v>91</v>
      </c>
      <c r="G94" s="32">
        <v>0</v>
      </c>
      <c r="H94" s="32">
        <f>IF('Gerar Hietograma'!$F$5=1,'Gerar Hietograma'!$G$4/100*B94,IF('Gerar Hietograma'!$F$5=2,'Gerar Hietograma'!$G$4/100*C94,IF('Gerar Hietograma'!$F$5=3,'Gerar Hietograma'!$G$4/100*D94,IF('Gerar Hietograma'!$F$5=4,'Gerar Hietograma'!$G$4/100*E94,0))))</f>
        <v>0</v>
      </c>
      <c r="I94" s="32">
        <f>'Gerar Hietograma'!$G$3/'Gerar Hietograma'!$G$2*F93</f>
        <v>900</v>
      </c>
      <c r="J94">
        <f t="shared" si="8"/>
        <v>180</v>
      </c>
      <c r="K94">
        <f t="shared" si="9"/>
        <v>120</v>
      </c>
      <c r="L94" t="e" cm="1">
        <f t="array" ref="L94">INDEX(x_conhecido, MATCH(I94, x_conhecido, 1) + 1)</f>
        <v>#REF!</v>
      </c>
      <c r="M94" t="e" cm="1">
        <f t="array" ref="M94">INDEX(y_conhecido, MATCH(I94,x_conhecido, 1) + 1)</f>
        <v>#REF!</v>
      </c>
      <c r="N94">
        <f t="shared" si="10"/>
        <v>120</v>
      </c>
      <c r="O94">
        <f t="shared" si="7"/>
        <v>0</v>
      </c>
    </row>
    <row r="95" spans="6:15" x14ac:dyDescent="0.25">
      <c r="F95" s="3">
        <v>92</v>
      </c>
      <c r="G95" s="32">
        <v>0</v>
      </c>
      <c r="H95" s="32">
        <f>IF('Gerar Hietograma'!$F$5=1,'Gerar Hietograma'!$G$4/100*B95,IF('Gerar Hietograma'!$F$5=2,'Gerar Hietograma'!$G$4/100*C95,IF('Gerar Hietograma'!$F$5=3,'Gerar Hietograma'!$G$4/100*D95,IF('Gerar Hietograma'!$F$5=4,'Gerar Hietograma'!$G$4/100*E95,0))))</f>
        <v>0</v>
      </c>
      <c r="I95" s="32">
        <f>'Gerar Hietograma'!$G$3/'Gerar Hietograma'!$G$2*F94</f>
        <v>910</v>
      </c>
      <c r="J95">
        <f t="shared" si="8"/>
        <v>180</v>
      </c>
      <c r="K95">
        <f t="shared" si="9"/>
        <v>120</v>
      </c>
      <c r="L95" t="e" cm="1">
        <f t="array" ref="L95">INDEX(x_conhecido, MATCH(I95, x_conhecido, 1) + 1)</f>
        <v>#REF!</v>
      </c>
      <c r="M95" t="e" cm="1">
        <f t="array" ref="M95">INDEX(y_conhecido, MATCH(I95,x_conhecido, 1) + 1)</f>
        <v>#REF!</v>
      </c>
      <c r="N95">
        <f t="shared" si="10"/>
        <v>120</v>
      </c>
      <c r="O95">
        <f t="shared" si="7"/>
        <v>0</v>
      </c>
    </row>
    <row r="96" spans="6:15" x14ac:dyDescent="0.25">
      <c r="F96" s="3">
        <v>93</v>
      </c>
      <c r="G96" s="32">
        <v>0</v>
      </c>
      <c r="H96" s="32">
        <f>IF('Gerar Hietograma'!$F$5=1,'Gerar Hietograma'!$G$4/100*B96,IF('Gerar Hietograma'!$F$5=2,'Gerar Hietograma'!$G$4/100*C96,IF('Gerar Hietograma'!$F$5=3,'Gerar Hietograma'!$G$4/100*D96,IF('Gerar Hietograma'!$F$5=4,'Gerar Hietograma'!$G$4/100*E96,0))))</f>
        <v>0</v>
      </c>
      <c r="I96" s="32">
        <f>'Gerar Hietograma'!$G$3/'Gerar Hietograma'!$G$2*F95</f>
        <v>920</v>
      </c>
      <c r="J96">
        <f t="shared" si="8"/>
        <v>180</v>
      </c>
      <c r="K96">
        <f t="shared" si="9"/>
        <v>120</v>
      </c>
      <c r="L96" t="e" cm="1">
        <f t="array" ref="L96">INDEX(x_conhecido, MATCH(I96, x_conhecido, 1) + 1)</f>
        <v>#REF!</v>
      </c>
      <c r="M96" t="e" cm="1">
        <f t="array" ref="M96">INDEX(y_conhecido, MATCH(I96,x_conhecido, 1) + 1)</f>
        <v>#REF!</v>
      </c>
      <c r="N96">
        <f t="shared" si="10"/>
        <v>120</v>
      </c>
      <c r="O96">
        <f t="shared" si="7"/>
        <v>0</v>
      </c>
    </row>
    <row r="97" spans="6:15" x14ac:dyDescent="0.25">
      <c r="F97" s="3">
        <v>94</v>
      </c>
      <c r="G97" s="32">
        <v>0</v>
      </c>
      <c r="H97" s="32">
        <f>IF('Gerar Hietograma'!$F$5=1,'Gerar Hietograma'!$G$4/100*B97,IF('Gerar Hietograma'!$F$5=2,'Gerar Hietograma'!$G$4/100*C97,IF('Gerar Hietograma'!$F$5=3,'Gerar Hietograma'!$G$4/100*D97,IF('Gerar Hietograma'!$F$5=4,'Gerar Hietograma'!$G$4/100*E97,0))))</f>
        <v>0</v>
      </c>
      <c r="I97" s="32">
        <f>'Gerar Hietograma'!$G$3/'Gerar Hietograma'!$G$2*F96</f>
        <v>930</v>
      </c>
      <c r="J97">
        <f t="shared" si="8"/>
        <v>180</v>
      </c>
      <c r="K97">
        <f t="shared" si="9"/>
        <v>120</v>
      </c>
      <c r="L97" t="e" cm="1">
        <f t="array" ref="L97">INDEX(x_conhecido, MATCH(I97, x_conhecido, 1) + 1)</f>
        <v>#REF!</v>
      </c>
      <c r="M97" t="e" cm="1">
        <f t="array" ref="M97">INDEX(y_conhecido, MATCH(I97,x_conhecido, 1) + 1)</f>
        <v>#REF!</v>
      </c>
      <c r="N97">
        <f t="shared" si="10"/>
        <v>120</v>
      </c>
      <c r="O97">
        <f t="shared" si="7"/>
        <v>0</v>
      </c>
    </row>
    <row r="98" spans="6:15" x14ac:dyDescent="0.25">
      <c r="F98" s="3">
        <v>95</v>
      </c>
      <c r="G98" s="32">
        <v>0</v>
      </c>
      <c r="H98" s="32">
        <f>IF('Gerar Hietograma'!$F$5=1,'Gerar Hietograma'!$G$4/100*B98,IF('Gerar Hietograma'!$F$5=2,'Gerar Hietograma'!$G$4/100*C98,IF('Gerar Hietograma'!$F$5=3,'Gerar Hietograma'!$G$4/100*D98,IF('Gerar Hietograma'!$F$5=4,'Gerar Hietograma'!$G$4/100*E98,0))))</f>
        <v>0</v>
      </c>
      <c r="I98" s="32">
        <f>'Gerar Hietograma'!$G$3/'Gerar Hietograma'!$G$2*F97</f>
        <v>940</v>
      </c>
      <c r="J98">
        <f t="shared" si="8"/>
        <v>180</v>
      </c>
      <c r="K98">
        <f t="shared" si="9"/>
        <v>120</v>
      </c>
      <c r="L98" t="e" cm="1">
        <f t="array" ref="L98">INDEX(x_conhecido, MATCH(I98, x_conhecido, 1) + 1)</f>
        <v>#REF!</v>
      </c>
      <c r="M98" t="e" cm="1">
        <f t="array" ref="M98">INDEX(y_conhecido, MATCH(I98,x_conhecido, 1) + 1)</f>
        <v>#REF!</v>
      </c>
      <c r="N98">
        <f t="shared" si="10"/>
        <v>120</v>
      </c>
      <c r="O98">
        <f t="shared" si="7"/>
        <v>0</v>
      </c>
    </row>
    <row r="99" spans="6:15" x14ac:dyDescent="0.25">
      <c r="F99" s="3">
        <v>96</v>
      </c>
      <c r="G99" s="32">
        <v>0</v>
      </c>
      <c r="H99" s="32">
        <f>IF('Gerar Hietograma'!$F$5=1,'Gerar Hietograma'!$G$4/100*B99,IF('Gerar Hietograma'!$F$5=2,'Gerar Hietograma'!$G$4/100*C99,IF('Gerar Hietograma'!$F$5=3,'Gerar Hietograma'!$G$4/100*D99,IF('Gerar Hietograma'!$F$5=4,'Gerar Hietograma'!$G$4/100*E99,0))))</f>
        <v>0</v>
      </c>
      <c r="I99" s="32">
        <f>'Gerar Hietograma'!$G$3/'Gerar Hietograma'!$G$2*F98</f>
        <v>950</v>
      </c>
      <c r="J99">
        <f t="shared" si="8"/>
        <v>180</v>
      </c>
      <c r="K99">
        <f t="shared" si="9"/>
        <v>120</v>
      </c>
      <c r="L99" t="e" cm="1">
        <f t="array" ref="L99">INDEX(x_conhecido, MATCH(I99, x_conhecido, 1) + 1)</f>
        <v>#REF!</v>
      </c>
      <c r="M99" t="e" cm="1">
        <f t="array" ref="M99">INDEX(y_conhecido, MATCH(I99,x_conhecido, 1) + 1)</f>
        <v>#REF!</v>
      </c>
      <c r="N99">
        <f t="shared" si="10"/>
        <v>120</v>
      </c>
      <c r="O99">
        <f t="shared" si="7"/>
        <v>0</v>
      </c>
    </row>
    <row r="100" spans="6:15" x14ac:dyDescent="0.25">
      <c r="F100" s="3">
        <v>97</v>
      </c>
      <c r="G100" s="32">
        <v>0</v>
      </c>
      <c r="H100" s="32">
        <f>IF('Gerar Hietograma'!$F$5=1,'Gerar Hietograma'!$G$4/100*B100,IF('Gerar Hietograma'!$F$5=2,'Gerar Hietograma'!$G$4/100*C100,IF('Gerar Hietograma'!$F$5=3,'Gerar Hietograma'!$G$4/100*D100,IF('Gerar Hietograma'!$F$5=4,'Gerar Hietograma'!$G$4/100*E100,0))))</f>
        <v>0</v>
      </c>
      <c r="I100" s="32">
        <f>'Gerar Hietograma'!$G$3/'Gerar Hietograma'!$G$2*F99</f>
        <v>960</v>
      </c>
      <c r="J100">
        <f t="shared" ref="J100:J131" si="11">INDEX(x_conhecido,MATCH(I100,x_conhecido,1))</f>
        <v>180</v>
      </c>
      <c r="K100">
        <f t="shared" si="9"/>
        <v>120</v>
      </c>
      <c r="L100" t="e" cm="1">
        <f t="array" ref="L100">INDEX(x_conhecido, MATCH(I100, x_conhecido, 1) + 1)</f>
        <v>#REF!</v>
      </c>
      <c r="M100" t="e" cm="1">
        <f t="array" ref="M100">INDEX(y_conhecido, MATCH(I100,x_conhecido, 1) + 1)</f>
        <v>#REF!</v>
      </c>
      <c r="N100">
        <f t="shared" ref="N100:N131" si="12">IF(MATCH(I100,x_conhecido,1)=COUNTA(x_conhecido),K100,K100+(M100-K100)*(I100-J100)/(L100-J100))</f>
        <v>120</v>
      </c>
      <c r="O100">
        <f t="shared" si="7"/>
        <v>0</v>
      </c>
    </row>
    <row r="101" spans="6:15" x14ac:dyDescent="0.25">
      <c r="F101" s="3">
        <v>98</v>
      </c>
      <c r="G101" s="32">
        <v>0</v>
      </c>
      <c r="H101" s="32">
        <f>IF('Gerar Hietograma'!$F$5=1,'Gerar Hietograma'!$G$4/100*B101,IF('Gerar Hietograma'!$F$5=2,'Gerar Hietograma'!$G$4/100*C101,IF('Gerar Hietograma'!$F$5=3,'Gerar Hietograma'!$G$4/100*D101,IF('Gerar Hietograma'!$F$5=4,'Gerar Hietograma'!$G$4/100*E101,0))))</f>
        <v>0</v>
      </c>
      <c r="I101" s="32">
        <f>'Gerar Hietograma'!$G$3/'Gerar Hietograma'!$G$2*F100</f>
        <v>970</v>
      </c>
      <c r="J101">
        <f t="shared" si="11"/>
        <v>180</v>
      </c>
      <c r="K101">
        <f t="shared" si="9"/>
        <v>120</v>
      </c>
      <c r="L101" t="e" cm="1">
        <f t="array" ref="L101">INDEX(x_conhecido, MATCH(I101, x_conhecido, 1) + 1)</f>
        <v>#REF!</v>
      </c>
      <c r="M101" t="e" cm="1">
        <f t="array" ref="M101">INDEX(y_conhecido, MATCH(I101,x_conhecido, 1) + 1)</f>
        <v>#REF!</v>
      </c>
      <c r="N101">
        <f t="shared" si="12"/>
        <v>120</v>
      </c>
      <c r="O101">
        <f t="shared" si="7"/>
        <v>0</v>
      </c>
    </row>
    <row r="102" spans="6:15" x14ac:dyDescent="0.25">
      <c r="F102" s="3">
        <v>99</v>
      </c>
      <c r="G102" s="32">
        <v>0</v>
      </c>
      <c r="H102" s="32">
        <f>IF('Gerar Hietograma'!$F$5=1,'Gerar Hietograma'!$G$4/100*B102,IF('Gerar Hietograma'!$F$5=2,'Gerar Hietograma'!$G$4/100*C102,IF('Gerar Hietograma'!$F$5=3,'Gerar Hietograma'!$G$4/100*D102,IF('Gerar Hietograma'!$F$5=4,'Gerar Hietograma'!$G$4/100*E102,0))))</f>
        <v>0</v>
      </c>
      <c r="I102" s="32">
        <f>'Gerar Hietograma'!$G$3/'Gerar Hietograma'!$G$2*F101</f>
        <v>980</v>
      </c>
      <c r="J102">
        <f t="shared" si="11"/>
        <v>180</v>
      </c>
      <c r="K102">
        <f t="shared" si="9"/>
        <v>120</v>
      </c>
      <c r="L102" t="e" cm="1">
        <f t="array" ref="L102">INDEX(x_conhecido, MATCH(I102, x_conhecido, 1) + 1)</f>
        <v>#REF!</v>
      </c>
      <c r="M102" t="e" cm="1">
        <f t="array" ref="M102">INDEX(y_conhecido, MATCH(I102,x_conhecido, 1) + 1)</f>
        <v>#REF!</v>
      </c>
      <c r="N102">
        <f t="shared" si="12"/>
        <v>120</v>
      </c>
      <c r="O102">
        <f t="shared" si="7"/>
        <v>0</v>
      </c>
    </row>
    <row r="103" spans="6:15" x14ac:dyDescent="0.25">
      <c r="F103" s="3">
        <v>100</v>
      </c>
      <c r="G103" s="32">
        <v>0</v>
      </c>
      <c r="H103" s="32">
        <f>IF('Gerar Hietograma'!$F$5=1,'Gerar Hietograma'!$G$4/100*B103,IF('Gerar Hietograma'!$F$5=2,'Gerar Hietograma'!$G$4/100*C103,IF('Gerar Hietograma'!$F$5=3,'Gerar Hietograma'!$G$4/100*D103,IF('Gerar Hietograma'!$F$5=4,'Gerar Hietograma'!$G$4/100*E103,0))))</f>
        <v>0</v>
      </c>
      <c r="I103" s="32">
        <f>'Gerar Hietograma'!$G$3/'Gerar Hietograma'!$G$2*F102</f>
        <v>990</v>
      </c>
      <c r="J103">
        <f t="shared" si="11"/>
        <v>180</v>
      </c>
      <c r="K103">
        <f t="shared" si="9"/>
        <v>120</v>
      </c>
      <c r="L103" t="e" cm="1">
        <f t="array" ref="L103">INDEX(x_conhecido, MATCH(I103, x_conhecido, 1) + 1)</f>
        <v>#REF!</v>
      </c>
      <c r="M103" t="e" cm="1">
        <f t="array" ref="M103">INDEX(y_conhecido, MATCH(I103,x_conhecido, 1) + 1)</f>
        <v>#REF!</v>
      </c>
      <c r="N103">
        <f t="shared" si="12"/>
        <v>120</v>
      </c>
      <c r="O103">
        <f t="shared" si="7"/>
        <v>0</v>
      </c>
    </row>
    <row r="104" spans="6:15" x14ac:dyDescent="0.25">
      <c r="F104" s="3">
        <v>101</v>
      </c>
      <c r="G104" s="32">
        <v>0</v>
      </c>
      <c r="H104" s="32">
        <f>IF('Gerar Hietograma'!$F$5=1,'Gerar Hietograma'!$G$4/100*B104,IF('Gerar Hietograma'!$F$5=2,'Gerar Hietograma'!$G$4/100*C104,IF('Gerar Hietograma'!$F$5=3,'Gerar Hietograma'!$G$4/100*D104,IF('Gerar Hietograma'!$F$5=4,'Gerar Hietograma'!$G$4/100*E104,0))))</f>
        <v>0</v>
      </c>
      <c r="I104" s="32">
        <f>'Gerar Hietograma'!$G$3/'Gerar Hietograma'!$G$2*F103</f>
        <v>1000</v>
      </c>
      <c r="J104">
        <f t="shared" si="11"/>
        <v>180</v>
      </c>
      <c r="K104">
        <f t="shared" si="9"/>
        <v>120</v>
      </c>
      <c r="L104" t="e" cm="1">
        <f t="array" ref="L104">INDEX(x_conhecido, MATCH(I104, x_conhecido, 1) + 1)</f>
        <v>#REF!</v>
      </c>
      <c r="M104" t="e" cm="1">
        <f t="array" ref="M104">INDEX(y_conhecido, MATCH(I104,x_conhecido, 1) + 1)</f>
        <v>#REF!</v>
      </c>
      <c r="N104">
        <f t="shared" si="12"/>
        <v>120</v>
      </c>
      <c r="O104">
        <f t="shared" si="7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Gerar Hietograma</vt:lpstr>
      <vt:lpstr>Ponto</vt:lpstr>
      <vt:lpstr>A10a50</vt:lpstr>
      <vt:lpstr>A50a400</vt:lpstr>
      <vt:lpstr>Experimento</vt:lpstr>
      <vt:lpstr>Interpolação</vt:lpstr>
      <vt:lpstr>x_conhecido</vt:lpstr>
      <vt:lpstr>y_conhecido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Bielenki Jr</dc:creator>
  <cp:lastModifiedBy>Claudio Bielenki Jr</cp:lastModifiedBy>
  <dcterms:created xsi:type="dcterms:W3CDTF">2021-08-13T15:15:59Z</dcterms:created>
  <dcterms:modified xsi:type="dcterms:W3CDTF">2021-08-18T03:55:39Z</dcterms:modified>
</cp:coreProperties>
</file>